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IN" sheetId="1" r:id="rId4"/>
    <sheet state="visible" name="PASTORES" sheetId="2" r:id="rId5"/>
  </sheets>
  <definedNames/>
  <calcPr/>
  <extLst>
    <ext uri="GoogleSheetsCustomDataVersion2">
      <go:sheetsCustomData xmlns:go="http://customooxmlschemas.google.com/" r:id="rId6" roundtripDataChecksum="Xe76dOgfCw7bKQgNEf3301Cut7yUiMbut/ZccxM9NaY="/>
    </ext>
  </extLst>
</workbook>
</file>

<file path=xl/sharedStrings.xml><?xml version="1.0" encoding="utf-8"?>
<sst xmlns="http://schemas.openxmlformats.org/spreadsheetml/2006/main" count="128" uniqueCount="86">
  <si>
    <t xml:space="preserve">REPORTE DE ASISTENCIA                                                                           </t>
  </si>
  <si>
    <t>FECHA</t>
  </si>
  <si>
    <t>CLIMA</t>
  </si>
  <si>
    <t>PREDICADOR</t>
  </si>
  <si>
    <t>TEMA</t>
  </si>
  <si>
    <t>DATOS REDES SOCIALES</t>
  </si>
  <si>
    <t>SERVICIO</t>
  </si>
  <si>
    <t>6:00 p.m.</t>
  </si>
  <si>
    <t>ASISTENTES AL SERVICIO</t>
  </si>
  <si>
    <t>FACEBOOK</t>
  </si>
  <si>
    <t>Rep. 15 seg. con sonido (ROCK)</t>
  </si>
  <si>
    <t>ASISTENCIA NIÑOS/NEON</t>
  </si>
  <si>
    <t>Rep. al menos 1 minuto</t>
  </si>
  <si>
    <t>ASISTENCIA PRESENCIAL TOTAL</t>
  </si>
  <si>
    <t>YOUTUBE</t>
  </si>
  <si>
    <t>Views al terminar el servicio (ROCK)</t>
  </si>
  <si>
    <t>DESCRIPCION</t>
  </si>
  <si>
    <t>ASISTENCIA EN LÍNEA</t>
  </si>
  <si>
    <t>06:00 p.m.</t>
  </si>
  <si>
    <t>AUDITORIO</t>
  </si>
  <si>
    <t>VOLUNTARIOS</t>
  </si>
  <si>
    <t>PRIMERAS IMPRESIONES</t>
  </si>
  <si>
    <t>ANFITRIONES</t>
  </si>
  <si>
    <t>ESTACIONAMIENTO</t>
  </si>
  <si>
    <t>JARDIN</t>
  </si>
  <si>
    <t>CRECE</t>
  </si>
  <si>
    <t>EVENTOS</t>
  </si>
  <si>
    <t>ALABANZA</t>
  </si>
  <si>
    <t>PRODUCCIÓN</t>
  </si>
  <si>
    <t xml:space="preserve">KIDS </t>
  </si>
  <si>
    <t>TRANSPORTE</t>
  </si>
  <si>
    <t>CONTADORES</t>
  </si>
  <si>
    <t>SIRVIENDO EN AMOR</t>
  </si>
  <si>
    <t>NEON (5° Y 6° PRIMARIA)</t>
  </si>
  <si>
    <t>JÓVENES</t>
  </si>
  <si>
    <t>VOLUNTARIOS DE DOMINGO</t>
  </si>
  <si>
    <t xml:space="preserve">TOTAL DE VOLUNTARIOS </t>
  </si>
  <si>
    <t>DATOS DE CONEXIÓN</t>
  </si>
  <si>
    <t>TOTAL DE INV. ESP. (PRIMERA VEZ)</t>
  </si>
  <si>
    <t>TOTAL PERSONAS QUE ACEPTARON A CRISTO</t>
  </si>
  <si>
    <t>BAUTIZOS</t>
  </si>
  <si>
    <t>RECEPCIÓN INVITADOS (MENSUAL)</t>
  </si>
  <si>
    <t>RUTAS CAMIONES</t>
  </si>
  <si>
    <t>REGISTRO CRECE MODULO 1</t>
  </si>
  <si>
    <t>REGISTRO CRECE MODULO 2</t>
  </si>
  <si>
    <t>0 A 1.5 AÑOS / MATERNAL 1</t>
  </si>
  <si>
    <t>1.5 A 2 AÑOS / MATERNAL 2</t>
  </si>
  <si>
    <t>3 AÑOS / KINDER 1</t>
  </si>
  <si>
    <t>4 y 5 AÑOS / KINDER 2 y 3</t>
  </si>
  <si>
    <t>6 AÑOS / 1° GRADO</t>
  </si>
  <si>
    <t>7 AÑOS / 2° GRADO</t>
  </si>
  <si>
    <t>8 AÑOS / 3° GRADO</t>
  </si>
  <si>
    <t>9 AÑOS / 4° GRADO</t>
  </si>
  <si>
    <t>TOTAL DE NIÑOS</t>
  </si>
  <si>
    <t>JÓVENES (SABADO Y DOMINGO)</t>
  </si>
  <si>
    <t>SABADO</t>
  </si>
  <si>
    <t>GRUPOS SECUNDARIAS  ( 1 A 3 GRADO )</t>
  </si>
  <si>
    <t>GRUPOS PREPARATORIAS  ( 1 A 3 GRADO )</t>
  </si>
  <si>
    <t>REUNION GENERAL</t>
  </si>
  <si>
    <t>UNIVERSITARIOS</t>
  </si>
  <si>
    <t>VECTOR</t>
  </si>
  <si>
    <t>GRUPOS</t>
  </si>
  <si>
    <t>GRUPOS DE VIDA FIN DE SEMANA</t>
  </si>
  <si>
    <t>GRUPOS DE VIDA ENTRE SEMANA</t>
  </si>
  <si>
    <t xml:space="preserve">GRUPO DE JÓVENES </t>
  </si>
  <si>
    <t>DATOS FINANCIEROS EN DLLS</t>
  </si>
  <si>
    <t>ON LINE EN DLLS</t>
  </si>
  <si>
    <t>EFECTIVO EN DLLS</t>
  </si>
  <si>
    <t>ENTRADA TOTAL</t>
  </si>
  <si>
    <t>MINUTA DE REUNIÓN</t>
  </si>
  <si>
    <t xml:space="preserve">HORA DE INICIO </t>
  </si>
  <si>
    <t xml:space="preserve">ALABANZA </t>
  </si>
  <si>
    <t>ORACION POR MEXICO</t>
  </si>
  <si>
    <t>BIENVENIDA</t>
  </si>
  <si>
    <t>OFRENDAS Y SALIDA DE NEON</t>
  </si>
  <si>
    <t>NOTICIAS</t>
  </si>
  <si>
    <t>MENSAJE</t>
  </si>
  <si>
    <t>MINISTRACIÓN</t>
  </si>
  <si>
    <t>CIERRE</t>
  </si>
  <si>
    <t>HORA DE SALIDA</t>
  </si>
  <si>
    <t>TIEMPO TOTAL DE REUNIÓN</t>
  </si>
  <si>
    <t>DATOS FINANCIEROS</t>
  </si>
  <si>
    <t>TRANSFERENCIAS</t>
  </si>
  <si>
    <t>TARJETAS</t>
  </si>
  <si>
    <t>CANASTOS</t>
  </si>
  <si>
    <t>OFRENDAS ENTRE SEMANA (EFECTIVO)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</si>
</sst>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&quot;$&quot;* #,##0.00&quot; &quot;;&quot;-&quot;&quot;$&quot;* #,##0.00&quot; &quot;;&quot; &quot;&quot;$&quot;* &quot;-&quot;??&quot; &quot;"/>
  </numFmts>
  <fonts count="16">
    <font>
      <sz val="11.0"/>
      <color rgb="FF000000"/>
      <name val="Calibri"/>
      <scheme val="minor"/>
    </font>
    <font>
      <sz val="11.0"/>
      <color rgb="FF000000"/>
      <name val="Calibri"/>
    </font>
    <font>
      <b/>
      <sz val="18.0"/>
      <color rgb="FFFFFFFF"/>
      <name val="Calibri"/>
    </font>
    <font/>
    <font>
      <sz val="10.0"/>
      <color rgb="FFFFFFFF"/>
      <name val="Calibri"/>
    </font>
    <font>
      <sz val="10.0"/>
      <color rgb="FF000000"/>
      <name val="Calibri"/>
    </font>
    <font>
      <b/>
      <sz val="16.0"/>
      <color rgb="FFFFFFFF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color theme="1"/>
      <name val="Calibri"/>
    </font>
    <font>
      <sz val="11.0"/>
      <color rgb="FFFF0000"/>
      <name val="Calibri"/>
    </font>
    <font>
      <color theme="1"/>
      <name val="Arial"/>
    </font>
    <font>
      <sz val="11.0"/>
      <color theme="1"/>
      <name val="Calibri"/>
    </font>
    <font>
      <b/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23232"/>
        <bgColor rgb="FF323232"/>
      </patternFill>
    </fill>
    <fill>
      <patternFill patternType="solid">
        <fgColor rgb="FFF04B28"/>
        <bgColor rgb="FFF04B28"/>
      </patternFill>
    </fill>
    <fill>
      <patternFill patternType="solid">
        <fgColor rgb="FFFFFFFF"/>
        <bgColor rgb="FFFFFFFF"/>
      </patternFill>
    </fill>
    <fill>
      <patternFill patternType="solid">
        <fgColor rgb="FF262626"/>
        <bgColor rgb="FF262626"/>
      </patternFill>
    </fill>
    <fill>
      <patternFill patternType="solid">
        <fgColor rgb="FFBFBFBF"/>
        <bgColor rgb="FFBFBFBF"/>
      </patternFill>
    </fill>
    <fill>
      <patternFill patternType="solid">
        <fgColor rgb="FFCFCFCF"/>
        <bgColor rgb="FFCFCFCF"/>
      </patternFill>
    </fill>
  </fills>
  <borders count="120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/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FFFFFF"/>
      </bottom>
    </border>
    <border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FFFFFF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medium">
        <color rgb="FF000000"/>
      </left>
      <right/>
      <top style="thin">
        <color rgb="FFFFFFFF"/>
      </top>
      <bottom style="thin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FFFFFF"/>
      </top>
      <bottom/>
    </border>
    <border>
      <left/>
      <right style="thin">
        <color rgb="FF000000"/>
      </right>
      <top style="thin">
        <color rgb="FFFFFFFF"/>
      </top>
      <bottom/>
    </border>
    <border>
      <left style="thin">
        <color rgb="FF000000"/>
      </lef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FFFFFF"/>
      </bottom>
    </border>
    <border>
      <left/>
      <right style="thin">
        <color rgb="FF000000"/>
      </right>
      <top/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FFFFFF"/>
      </top>
      <bottom style="thin">
        <color rgb="FF000000"/>
      </bottom>
    </border>
    <border>
      <left/>
      <right style="thin">
        <color rgb="FF000000"/>
      </right>
      <top style="thin">
        <color rgb="FFFFFFFF"/>
      </top>
      <bottom style="thin">
        <color rgb="FF000000"/>
      </bottom>
    </border>
    <border>
      <right/>
      <top style="thin">
        <color rgb="FF000000"/>
      </top>
    </border>
    <border>
      <right/>
      <top style="thin">
        <color rgb="FF000000"/>
      </top>
      <bottom style="thin">
        <color rgb="FFFFFFFF"/>
      </bottom>
    </border>
    <border>
      <right/>
      <top style="thin">
        <color rgb="FFFFFFFF"/>
      </top>
      <bottom style="thin">
        <color rgb="FFFFFFFF"/>
      </bottom>
    </border>
    <border>
      <left style="medium">
        <color rgb="FF000000"/>
      </left>
      <top style="thin">
        <color rgb="FFFFFFFF"/>
      </top>
      <bottom/>
    </border>
    <border>
      <right style="thin">
        <color rgb="FF000000"/>
      </right>
      <top style="thin">
        <color rgb="FFFFFFFF"/>
      </top>
      <bottom/>
    </border>
    <border>
      <bottom/>
    </border>
    <border>
      <right style="thin">
        <color rgb="FFAAAAAA"/>
      </right>
      <bottom style="thin">
        <color rgb="FFAAAAAA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FFFFFF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right/>
      <top/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FFFFFF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FFFFFF"/>
      </top>
      <bottom style="medium">
        <color rgb="FF000000"/>
      </bottom>
    </border>
    <border>
      <right style="thin">
        <color rgb="FF000000"/>
      </right>
      <top style="thin">
        <color rgb="FFFFFFFF"/>
      </top>
      <bottom style="medium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49" xfId="0" applyAlignment="1" applyBorder="1" applyFill="1" applyFont="1" applyNumberFormat="1">
      <alignment horizontal="center" shrinkToFit="0" vertical="center" wrapText="1"/>
    </xf>
    <xf borderId="4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2" fontId="2" numFmtId="49" xfId="0" applyAlignment="1" applyBorder="1" applyFill="1" applyFont="1" applyNumberFormat="1">
      <alignment horizontal="right" shrinkToFit="0" vertical="center" wrapText="1"/>
    </xf>
    <xf borderId="0" fillId="0" fontId="1" numFmtId="0" xfId="0" applyFont="1"/>
    <xf borderId="9" fillId="0" fontId="3" numFmtId="0" xfId="0" applyBorder="1" applyFont="1"/>
    <xf borderId="10" fillId="0" fontId="3" numFmtId="0" xfId="0" applyBorder="1" applyFont="1"/>
    <xf borderId="11" fillId="3" fontId="4" numFmtId="49" xfId="0" applyAlignment="1" applyBorder="1" applyFill="1" applyFont="1" applyNumberFormat="1">
      <alignment horizontal="center" vertical="center"/>
    </xf>
    <xf borderId="12" fillId="2" fontId="2" numFmtId="0" xfId="0" applyAlignment="1" applyBorder="1" applyFill="1" applyFont="1">
      <alignment horizontal="right" shrinkToFit="0" vertical="center" wrapText="1"/>
    </xf>
    <xf borderId="13" fillId="3" fontId="4" numFmtId="49" xfId="0" applyAlignment="1" applyBorder="1" applyFill="1" applyFont="1" applyNumberFormat="1">
      <alignment horizontal="center" vertical="center"/>
    </xf>
    <xf borderId="14" fillId="0" fontId="1" numFmtId="0" xfId="0" applyBorder="1" applyFont="1"/>
    <xf borderId="15" fillId="3" fontId="4" numFmtId="49" xfId="0" applyAlignment="1" applyBorder="1" applyFill="1" applyFont="1" applyNumberFormat="1">
      <alignment horizontal="center" vertical="center"/>
    </xf>
    <xf borderId="16" fillId="0" fontId="3" numFmtId="0" xfId="0" applyBorder="1" applyFont="1"/>
    <xf borderId="17" fillId="0" fontId="1" numFmtId="0" xfId="0" applyBorder="1" applyFont="1"/>
    <xf borderId="18" fillId="4" fontId="5" numFmtId="49" xfId="0" applyAlignment="1" applyBorder="1" applyFill="1" applyFont="1" applyNumberFormat="1">
      <alignment horizontal="center" readingOrder="0" vertical="center"/>
    </xf>
    <xf borderId="19" fillId="4" fontId="5" numFmtId="49" xfId="0" applyAlignment="1" applyBorder="1" applyFill="1" applyFont="1" applyNumberFormat="1">
      <alignment horizontal="center" readingOrder="0" vertical="center"/>
    </xf>
    <xf borderId="19" fillId="4" fontId="5" numFmtId="49" xfId="0" applyAlignment="1" applyBorder="1" applyFill="1" applyFont="1" applyNumberFormat="1">
      <alignment horizontal="center" readingOrder="0" shrinkToFit="0" vertical="center" wrapText="1"/>
    </xf>
    <xf borderId="15" fillId="4" fontId="5" numFmtId="49" xfId="0" applyAlignment="1" applyBorder="1" applyFill="1" applyFont="1" applyNumberFormat="1">
      <alignment horizontal="center" readingOrder="0" shrinkToFit="0" vertical="center" wrapText="1"/>
    </xf>
    <xf borderId="20" fillId="0" fontId="1" numFmtId="0" xfId="0" applyBorder="1" applyFont="1"/>
    <xf borderId="21" fillId="3" fontId="6" numFmtId="49" xfId="0" applyAlignment="1" applyBorder="1" applyFill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8" fillId="3" fontId="7" numFmtId="49" xfId="0" applyAlignment="1" applyBorder="1" applyFill="1" applyFont="1" applyNumberFormat="1">
      <alignment horizontal="center" vertical="center"/>
    </xf>
    <xf borderId="24" fillId="0" fontId="3" numFmtId="0" xfId="0" applyBorder="1" applyFont="1"/>
    <xf borderId="25" fillId="3" fontId="7" numFmtId="18" xfId="0" applyAlignment="1" applyBorder="1" applyFill="1" applyFont="1" applyNumberFormat="1">
      <alignment horizontal="center" vertical="center"/>
    </xf>
    <xf borderId="26" fillId="3" fontId="7" numFmtId="18" xfId="0" applyAlignment="1" applyBorder="1" applyFill="1" applyFont="1" applyNumberFormat="1">
      <alignment horizontal="center" vertical="center"/>
    </xf>
    <xf borderId="21" fillId="5" fontId="4" numFmtId="49" xfId="0" applyAlignment="1" applyBorder="1" applyFill="1" applyFont="1" applyNumberFormat="1">
      <alignment horizontal="center" vertical="center"/>
    </xf>
    <xf borderId="27" fillId="4" fontId="8" numFmtId="18" xfId="0" applyAlignment="1" applyBorder="1" applyFill="1" applyFont="1" applyNumberFormat="1">
      <alignment horizontal="center" shrinkToFit="0" vertical="center" wrapText="1"/>
    </xf>
    <xf borderId="28" fillId="5" fontId="4" numFmtId="49" xfId="0" applyAlignment="1" applyBorder="1" applyFill="1" applyFont="1" applyNumberFormat="1">
      <alignment horizontal="left" vertical="center"/>
    </xf>
    <xf borderId="29" fillId="0" fontId="3" numFmtId="0" xfId="0" applyBorder="1" applyFont="1"/>
    <xf borderId="30" fillId="4" fontId="5" numFmtId="49" xfId="0" applyAlignment="1" applyBorder="1" applyFill="1" applyFont="1" applyNumberFormat="1">
      <alignment horizontal="center" vertical="center"/>
    </xf>
    <xf borderId="31" fillId="4" fontId="9" numFmtId="0" xfId="0" applyAlignment="1" applyBorder="1" applyFill="1" applyFont="1">
      <alignment horizontal="center" vertical="center"/>
    </xf>
    <xf borderId="32" fillId="5" fontId="4" numFmtId="49" xfId="0" applyAlignment="1" applyBorder="1" applyFill="1" applyFont="1" applyNumberFormat="1">
      <alignment horizontal="center" vertical="center"/>
    </xf>
    <xf borderId="27" fillId="5" fontId="4" numFmtId="49" xfId="0" applyAlignment="1" applyBorder="1" applyFill="1" applyFont="1" applyNumberFormat="1">
      <alignment horizontal="center" vertical="center"/>
    </xf>
    <xf borderId="27" fillId="4" fontId="9" numFmtId="0" xfId="0" applyAlignment="1" applyBorder="1" applyFill="1" applyFont="1">
      <alignment horizontal="center" readingOrder="0" vertical="center"/>
    </xf>
    <xf borderId="33" fillId="5" fontId="4" numFmtId="49" xfId="0" applyAlignment="1" applyBorder="1" applyFill="1" applyFont="1" applyNumberFormat="1">
      <alignment horizontal="left" vertical="center"/>
    </xf>
    <xf borderId="27" fillId="4" fontId="9" numFmtId="0" xfId="0" applyAlignment="1" applyBorder="1" applyFill="1" applyFont="1">
      <alignment horizontal="center" vertical="center"/>
    </xf>
    <xf borderId="34" fillId="0" fontId="3" numFmtId="0" xfId="0" applyBorder="1" applyFont="1"/>
    <xf borderId="35" fillId="4" fontId="5" numFmtId="49" xfId="0" applyAlignment="1" applyBorder="1" applyFill="1" applyFont="1" applyNumberFormat="1">
      <alignment horizontal="center" shrinkToFit="0" vertical="center" wrapText="1"/>
    </xf>
    <xf borderId="36" fillId="4" fontId="8" numFmtId="49" xfId="0" applyAlignment="1" applyBorder="1" applyFill="1" applyFont="1" applyNumberFormat="1">
      <alignment horizontal="left" vertical="center"/>
    </xf>
    <xf borderId="37" fillId="0" fontId="3" numFmtId="0" xfId="0" applyBorder="1" applyFont="1"/>
    <xf borderId="38" fillId="4" fontId="8" numFmtId="0" xfId="0" applyAlignment="1" applyBorder="1" applyFill="1" applyFont="1">
      <alignment horizontal="left" vertical="center"/>
    </xf>
    <xf borderId="39" fillId="0" fontId="1" numFmtId="0" xfId="0" applyBorder="1" applyFont="1"/>
    <xf borderId="40" fillId="4" fontId="8" numFmtId="0" xfId="0" applyAlignment="1" applyBorder="1" applyFill="1" applyFont="1">
      <alignment horizontal="center" vertical="center"/>
    </xf>
    <xf borderId="41" fillId="0" fontId="3" numFmtId="0" xfId="0" applyBorder="1" applyFont="1"/>
    <xf borderId="42" fillId="0" fontId="3" numFmtId="0" xfId="0" applyBorder="1" applyFont="1"/>
    <xf borderId="43" fillId="3" fontId="7" numFmtId="49" xfId="0" applyAlignment="1" applyBorder="1" applyFill="1" applyFont="1" applyNumberFormat="1">
      <alignment horizontal="center" vertical="center"/>
    </xf>
    <xf borderId="44" fillId="0" fontId="3" numFmtId="0" xfId="0" applyBorder="1" applyFont="1"/>
    <xf borderId="45" fillId="3" fontId="7" numFmtId="49" xfId="0" applyAlignment="1" applyBorder="1" applyFill="1" applyFont="1" applyNumberFormat="1">
      <alignment horizontal="center" vertical="center"/>
    </xf>
    <xf borderId="46" fillId="0" fontId="3" numFmtId="0" xfId="0" applyBorder="1" applyFont="1"/>
    <xf borderId="47" fillId="0" fontId="3" numFmtId="0" xfId="0" applyBorder="1" applyFont="1"/>
    <xf borderId="13" fillId="3" fontId="7" numFmtId="18" xfId="0" applyAlignment="1" applyBorder="1" applyFill="1" applyFont="1" applyNumberFormat="1">
      <alignment horizontal="center" vertical="center"/>
    </xf>
    <xf borderId="48" fillId="3" fontId="7" numFmtId="18" xfId="0" applyAlignment="1" applyBorder="1" applyFill="1" applyFont="1" applyNumberFormat="1">
      <alignment horizontal="center" vertical="center"/>
    </xf>
    <xf borderId="27" fillId="4" fontId="10" numFmtId="0" xfId="0" applyAlignment="1" applyBorder="1" applyFill="1" applyFont="1">
      <alignment horizontal="center" vertical="center"/>
    </xf>
    <xf borderId="49" fillId="3" fontId="7" numFmtId="18" xfId="0" applyAlignment="1" applyBorder="1" applyFill="1" applyFont="1" applyNumberFormat="1">
      <alignment horizontal="center" vertical="center"/>
    </xf>
    <xf borderId="50" fillId="5" fontId="4" numFmtId="49" xfId="0" applyAlignment="1" applyBorder="1" applyFill="1" applyFont="1" applyNumberFormat="1">
      <alignment horizontal="left" vertical="center"/>
    </xf>
    <xf borderId="51" fillId="0" fontId="3" numFmtId="0" xfId="0" applyBorder="1" applyFont="1"/>
    <xf borderId="31" fillId="4" fontId="9" numFmtId="0" xfId="0" applyAlignment="1" applyBorder="1" applyFill="1" applyFont="1">
      <alignment horizontal="center" readingOrder="0" vertical="center"/>
    </xf>
    <xf borderId="52" fillId="4" fontId="9" numFmtId="0" xfId="0" applyAlignment="1" applyBorder="1" applyFill="1" applyFont="1">
      <alignment horizontal="center" readingOrder="0" vertical="center"/>
    </xf>
    <xf borderId="53" fillId="5" fontId="4" numFmtId="49" xfId="0" applyAlignment="1" applyBorder="1" applyFill="1" applyFont="1" applyNumberFormat="1">
      <alignment horizontal="left" vertical="center"/>
    </xf>
    <xf borderId="54" fillId="0" fontId="1" numFmtId="0" xfId="0" applyBorder="1" applyFont="1"/>
    <xf borderId="55" fillId="0" fontId="3" numFmtId="0" xfId="0" applyBorder="1" applyFont="1"/>
    <xf borderId="8" fillId="3" fontId="7" numFmtId="49" xfId="0" applyAlignment="1" applyBorder="1" applyFill="1" applyFont="1" applyNumberFormat="1">
      <alignment horizontal="center" readingOrder="0" vertical="center"/>
    </xf>
    <xf borderId="27" fillId="4" fontId="5" numFmtId="0" xfId="0" applyAlignment="1" applyBorder="1" applyFill="1" applyFont="1">
      <alignment horizontal="center" vertical="center"/>
    </xf>
    <xf borderId="31" fillId="4" fontId="11" numFmtId="0" xfId="0" applyAlignment="1" applyBorder="1" applyFill="1" applyFont="1">
      <alignment horizontal="center" readingOrder="0"/>
    </xf>
    <xf borderId="56" fillId="4" fontId="11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readingOrder="0"/>
    </xf>
    <xf borderId="57" fillId="4" fontId="5" numFmtId="0" xfId="0" applyAlignment="1" applyBorder="1" applyFill="1" applyFont="1">
      <alignment horizontal="center" vertical="center"/>
    </xf>
    <xf borderId="58" fillId="5" fontId="4" numFmtId="49" xfId="0" applyAlignment="1" applyBorder="1" applyFill="1" applyFont="1" applyNumberFormat="1">
      <alignment horizontal="left" vertical="center"/>
    </xf>
    <xf borderId="59" fillId="0" fontId="3" numFmtId="0" xfId="0" applyBorder="1" applyFont="1"/>
    <xf borderId="60" fillId="5" fontId="4" numFmtId="49" xfId="0" applyAlignment="1" applyBorder="1" applyFill="1" applyFont="1" applyNumberFormat="1">
      <alignment horizontal="left" vertical="center"/>
    </xf>
    <xf borderId="61" fillId="4" fontId="5" numFmtId="0" xfId="0" applyAlignment="1" applyBorder="1" applyFill="1" applyFont="1">
      <alignment horizontal="center" vertical="center"/>
    </xf>
    <xf borderId="62" fillId="5" fontId="4" numFmtId="49" xfId="0" applyAlignment="1" applyBorder="1" applyFill="1" applyFont="1" applyNumberFormat="1">
      <alignment horizontal="left" vertical="center"/>
    </xf>
    <xf borderId="2" fillId="0" fontId="1" numFmtId="0" xfId="0" applyAlignment="1" applyBorder="1" applyFont="1">
      <alignment readingOrder="0"/>
    </xf>
    <xf borderId="27" fillId="4" fontId="5" numFmtId="0" xfId="0" applyAlignment="1" applyBorder="1" applyFill="1" applyFont="1">
      <alignment horizontal="center" readingOrder="0" vertical="center"/>
    </xf>
    <xf borderId="62" fillId="5" fontId="4" numFmtId="0" xfId="0" applyAlignment="1" applyBorder="1" applyFill="1" applyFont="1">
      <alignment horizontal="left" vertical="center"/>
    </xf>
    <xf borderId="27" fillId="0" fontId="11" numFmtId="0" xfId="0" applyAlignment="1" applyBorder="1" applyFont="1">
      <alignment horizontal="center" readingOrder="0"/>
    </xf>
    <xf borderId="21" fillId="0" fontId="11" numFmtId="0" xfId="0" applyAlignment="1" applyBorder="1" applyFont="1">
      <alignment horizontal="center" readingOrder="0"/>
    </xf>
    <xf borderId="63" fillId="5" fontId="4" numFmtId="49" xfId="0" applyAlignment="1" applyBorder="1" applyFill="1" applyFont="1" applyNumberFormat="1">
      <alignment horizontal="left" vertical="center"/>
    </xf>
    <xf borderId="61" fillId="4" fontId="9" numFmtId="0" xfId="0" applyAlignment="1" applyBorder="1" applyFill="1" applyFont="1">
      <alignment horizontal="center" readingOrder="0" vertical="center"/>
    </xf>
    <xf borderId="64" fillId="0" fontId="3" numFmtId="0" xfId="0" applyBorder="1" applyFont="1"/>
    <xf borderId="27" fillId="4" fontId="11" numFmtId="0" xfId="0" applyAlignment="1" applyBorder="1" applyFill="1" applyFont="1">
      <alignment horizontal="center" readingOrder="0"/>
    </xf>
    <xf borderId="57" fillId="4" fontId="11" numFmtId="0" xfId="0" applyAlignment="1" applyBorder="1" applyFill="1" applyFont="1">
      <alignment horizontal="center" readingOrder="0"/>
    </xf>
    <xf borderId="2" fillId="0" fontId="12" numFmtId="0" xfId="0" applyBorder="1" applyFont="1"/>
    <xf borderId="65" fillId="4" fontId="8" numFmtId="49" xfId="0" applyAlignment="1" applyBorder="1" applyFill="1" applyFont="1" applyNumberFormat="1">
      <alignment horizontal="left" vertical="center"/>
    </xf>
    <xf borderId="66" fillId="4" fontId="8" numFmtId="0" xfId="0" applyAlignment="1" applyBorder="1" applyFill="1" applyFont="1">
      <alignment horizontal="left" vertical="center"/>
    </xf>
    <xf borderId="67" fillId="5" fontId="4" numFmtId="49" xfId="0" applyAlignment="1" applyBorder="1" applyFill="1" applyFont="1" applyNumberFormat="1">
      <alignment horizontal="left" vertical="center"/>
    </xf>
    <xf borderId="68" fillId="5" fontId="4" numFmtId="0" xfId="0" applyAlignment="1" applyBorder="1" applyFill="1" applyFont="1">
      <alignment horizontal="left" vertical="center"/>
    </xf>
    <xf borderId="19" fillId="4" fontId="11" numFmtId="0" xfId="0" applyAlignment="1" applyBorder="1" applyFill="1" applyFont="1">
      <alignment horizontal="center" readingOrder="0"/>
    </xf>
    <xf borderId="69" fillId="4" fontId="8" numFmtId="0" xfId="0" applyAlignment="1" applyBorder="1" applyFill="1" applyFont="1">
      <alignment horizontal="center" vertical="center"/>
    </xf>
    <xf borderId="70" fillId="0" fontId="11" numFmtId="0" xfId="0" applyAlignment="1" applyBorder="1" applyFont="1">
      <alignment horizontal="center" readingOrder="0"/>
    </xf>
    <xf borderId="71" fillId="4" fontId="9" numFmtId="0" xfId="0" applyAlignment="1" applyBorder="1" applyFill="1" applyFont="1">
      <alignment horizontal="center" readingOrder="0" vertical="center"/>
    </xf>
    <xf borderId="8" fillId="4" fontId="5" numFmtId="49" xfId="0" applyAlignment="1" applyBorder="1" applyFill="1" applyFont="1" applyNumberForma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74" fillId="0" fontId="1" numFmtId="0" xfId="0" applyBorder="1" applyFont="1"/>
    <xf borderId="75" fillId="4" fontId="8" numFmtId="0" xfId="0" applyAlignment="1" applyBorder="1" applyFill="1" applyFont="1">
      <alignment horizontal="center" vertical="center"/>
    </xf>
    <xf borderId="26" fillId="4" fontId="8" numFmtId="0" xfId="0" applyAlignment="1" applyBorder="1" applyFill="1" applyFont="1">
      <alignment horizontal="center" vertical="center"/>
    </xf>
    <xf borderId="27" fillId="4" fontId="8" numFmtId="0" xfId="0" applyAlignment="1" applyBorder="1" applyFill="1" applyFont="1">
      <alignment horizontal="center" vertical="center"/>
    </xf>
    <xf borderId="76" fillId="5" fontId="4" numFmtId="49" xfId="0" applyAlignment="1" applyBorder="1" applyFill="1" applyFont="1" applyNumberFormat="1">
      <alignment horizontal="left" vertical="center"/>
    </xf>
    <xf borderId="77" fillId="5" fontId="4" numFmtId="0" xfId="0" applyAlignment="1" applyBorder="1" applyFill="1" applyFont="1">
      <alignment horizontal="left" vertical="center"/>
    </xf>
    <xf borderId="78" fillId="0" fontId="13" numFmtId="0" xfId="0" applyAlignment="1" applyBorder="1" applyFont="1">
      <alignment horizontal="center" readingOrder="0"/>
    </xf>
    <xf borderId="21" fillId="0" fontId="13" numFmtId="0" xfId="0" applyAlignment="1" applyBorder="1" applyFont="1">
      <alignment horizontal="center" readingOrder="0"/>
    </xf>
    <xf borderId="60" fillId="5" fontId="4" numFmtId="49" xfId="0" applyAlignment="1" applyBorder="1" applyFill="1" applyFont="1" applyNumberFormat="1">
      <alignment vertical="center"/>
    </xf>
    <xf borderId="62" fillId="5" fontId="4" numFmtId="0" xfId="0" applyAlignment="1" applyBorder="1" applyFill="1" applyFont="1">
      <alignment vertical="center"/>
    </xf>
    <xf borderId="57" fillId="4" fontId="13" numFmtId="0" xfId="0" applyAlignment="1" applyBorder="1" applyFill="1" applyFont="1">
      <alignment horizontal="center" readingOrder="0"/>
    </xf>
    <xf borderId="67" fillId="5" fontId="4" numFmtId="49" xfId="0" applyAlignment="1" applyBorder="1" applyFill="1" applyFont="1" applyNumberFormat="1">
      <alignment vertical="center"/>
    </xf>
    <xf borderId="68" fillId="5" fontId="4" numFmtId="0" xfId="0" applyAlignment="1" applyBorder="1" applyFill="1" applyFont="1">
      <alignment vertical="center"/>
    </xf>
    <xf borderId="32" fillId="0" fontId="11" numFmtId="0" xfId="0" applyAlignment="1" applyBorder="1" applyFont="1">
      <alignment horizontal="center" readingOrder="0"/>
    </xf>
    <xf borderId="79" fillId="0" fontId="1" numFmtId="0" xfId="0" applyBorder="1" applyFont="1"/>
    <xf borderId="50" fillId="5" fontId="4" numFmtId="49" xfId="0" applyAlignment="1" applyBorder="1" applyFill="1" applyFont="1" applyNumberFormat="1">
      <alignment horizontal="center" vertical="center"/>
    </xf>
    <xf borderId="31" fillId="4" fontId="14" numFmtId="0" xfId="0" applyAlignment="1" applyBorder="1" applyFill="1" applyFont="1">
      <alignment horizontal="center" readingOrder="0" shrinkToFit="0" wrapText="1"/>
    </xf>
    <xf borderId="80" fillId="4" fontId="14" numFmtId="0" xfId="0" applyAlignment="1" applyBorder="1" applyFill="1" applyFont="1">
      <alignment horizontal="center" readingOrder="0" shrinkToFit="0" vertical="center" wrapText="1"/>
    </xf>
    <xf borderId="58" fillId="5" fontId="4" numFmtId="49" xfId="0" applyAlignment="1" applyBorder="1" applyFill="1" applyFont="1" applyNumberFormat="1">
      <alignment horizontal="center" vertical="center"/>
    </xf>
    <xf borderId="27" fillId="4" fontId="14" numFmtId="0" xfId="0" applyAlignment="1" applyBorder="1" applyFill="1" applyFont="1">
      <alignment horizontal="center" readingOrder="0" shrinkToFit="0" wrapText="1"/>
    </xf>
    <xf borderId="81" fillId="0" fontId="3" numFmtId="0" xfId="0" applyBorder="1" applyFont="1"/>
    <xf borderId="82" fillId="4" fontId="14" numFmtId="0" xfId="0" applyAlignment="1" applyBorder="1" applyFill="1" applyFont="1">
      <alignment horizontal="center" readingOrder="0" shrinkToFit="0" vertical="center" wrapText="1"/>
    </xf>
    <xf borderId="83" fillId="0" fontId="3" numFmtId="0" xfId="0" applyBorder="1" applyFont="1"/>
    <xf borderId="63" fillId="5" fontId="4" numFmtId="49" xfId="0" applyAlignment="1" applyBorder="1" applyFill="1" applyFont="1" applyNumberFormat="1">
      <alignment horizontal="center" vertical="center"/>
    </xf>
    <xf borderId="84" fillId="4" fontId="5" numFmtId="49" xfId="0" applyAlignment="1" applyBorder="1" applyFill="1" applyFont="1" applyNumberFormat="1">
      <alignment horizontal="center" vertical="center"/>
    </xf>
    <xf borderId="85" fillId="0" fontId="3" numFmtId="0" xfId="0" applyBorder="1" applyFont="1"/>
    <xf borderId="19" fillId="4" fontId="8" numFmtId="0" xfId="0" applyAlignment="1" applyBorder="1" applyFill="1" applyFont="1">
      <alignment horizontal="center" vertical="center"/>
    </xf>
    <xf borderId="86" fillId="4" fontId="8" numFmtId="0" xfId="0" applyAlignment="1" applyBorder="1" applyFill="1" applyFont="1">
      <alignment horizontal="center" vertical="center"/>
    </xf>
    <xf borderId="87" fillId="5" fontId="4" numFmtId="49" xfId="0" applyAlignment="1" applyBorder="1" applyFill="1" applyFont="1" applyNumberFormat="1">
      <alignment horizontal="left" vertical="center"/>
    </xf>
    <xf borderId="88" fillId="5" fontId="4" numFmtId="0" xfId="0" applyAlignment="1" applyBorder="1" applyFill="1" applyFont="1">
      <alignment horizontal="left" vertical="center"/>
    </xf>
    <xf borderId="71" fillId="4" fontId="8" numFmtId="0" xfId="0" applyAlignment="1" applyBorder="1" applyFill="1" applyFont="1">
      <alignment horizontal="center" vertical="center"/>
    </xf>
    <xf borderId="8" fillId="3" fontId="15" numFmtId="49" xfId="0" applyAlignment="1" applyBorder="1" applyFill="1" applyFont="1" applyNumberFormat="1">
      <alignment horizontal="center" vertical="center"/>
    </xf>
    <xf borderId="56" fillId="4" fontId="9" numFmtId="0" xfId="0" applyAlignment="1" applyBorder="1" applyFill="1" applyFont="1">
      <alignment horizontal="center" readingOrder="0" vertical="center"/>
    </xf>
    <xf borderId="33" fillId="6" fontId="8" numFmtId="49" xfId="0" applyAlignment="1" applyBorder="1" applyFill="1" applyFont="1" applyNumberFormat="1">
      <alignment horizontal="center" vertical="center"/>
    </xf>
    <xf borderId="70" fillId="6" fontId="8" numFmtId="18" xfId="0" applyAlignment="1" applyBorder="1" applyFill="1" applyFont="1" applyNumberFormat="1">
      <alignment horizontal="center" vertical="center"/>
    </xf>
    <xf borderId="89" fillId="0" fontId="3" numFmtId="0" xfId="0" applyBorder="1" applyFont="1"/>
    <xf borderId="61" fillId="6" fontId="8" numFmtId="18" xfId="0" applyAlignment="1" applyBorder="1" applyFill="1" applyFont="1" applyNumberFormat="1">
      <alignment horizontal="center" vertical="center"/>
    </xf>
    <xf borderId="90" fillId="0" fontId="3" numFmtId="0" xfId="0" applyBorder="1" applyFont="1"/>
    <xf borderId="21" fillId="4" fontId="11" numFmtId="0" xfId="0" applyAlignment="1" applyBorder="1" applyFill="1" applyFont="1">
      <alignment horizontal="center" readingOrder="0"/>
    </xf>
    <xf borderId="91" fillId="0" fontId="3" numFmtId="0" xfId="0" applyBorder="1" applyFont="1"/>
    <xf borderId="31" fillId="4" fontId="5" numFmtId="0" xfId="0" applyAlignment="1" applyBorder="1" applyFill="1" applyFont="1">
      <alignment horizontal="center" vertical="center"/>
    </xf>
    <xf borderId="92" fillId="5" fontId="4" numFmtId="49" xfId="0" applyAlignment="1" applyBorder="1" applyFill="1" applyFont="1" applyNumberFormat="1">
      <alignment horizontal="left" vertical="center"/>
    </xf>
    <xf borderId="93" fillId="0" fontId="3" numFmtId="0" xfId="0" applyBorder="1" applyFont="1"/>
    <xf borderId="21" fillId="4" fontId="10" numFmtId="0" xfId="0" applyAlignment="1" applyBorder="1" applyFill="1" applyFont="1">
      <alignment horizontal="center" vertical="center"/>
    </xf>
    <xf borderId="94" fillId="4" fontId="10" numFmtId="0" xfId="0" applyAlignment="1" applyBorder="1" applyFill="1" applyFont="1">
      <alignment horizontal="center" vertical="center"/>
    </xf>
    <xf borderId="95" fillId="0" fontId="1" numFmtId="0" xfId="0" applyBorder="1" applyFont="1"/>
    <xf borderId="56" fillId="4" fontId="5" numFmtId="0" xfId="0" applyAlignment="1" applyBorder="1" applyFill="1" applyFont="1">
      <alignment horizontal="center" vertical="center"/>
    </xf>
    <xf borderId="96" fillId="5" fontId="4" numFmtId="49" xfId="0" applyAlignment="1" applyBorder="1" applyFill="1" applyFont="1" applyNumberFormat="1">
      <alignment horizontal="left" vertical="center"/>
    </xf>
    <xf borderId="12" fillId="5" fontId="4" numFmtId="0" xfId="0" applyAlignment="1" applyBorder="1" applyFill="1" applyFont="1">
      <alignment horizontal="left" vertical="center"/>
    </xf>
    <xf borderId="21" fillId="4" fontId="10" numFmtId="0" xfId="0" applyAlignment="1" applyBorder="1" applyFill="1" applyFont="1">
      <alignment horizontal="center" readingOrder="0" vertical="center"/>
    </xf>
    <xf borderId="97" fillId="4" fontId="10" numFmtId="0" xfId="0" applyAlignment="1" applyBorder="1" applyFill="1" applyFont="1">
      <alignment horizontal="center" readingOrder="0" vertical="center"/>
    </xf>
    <xf borderId="98" fillId="5" fontId="4" numFmtId="0" xfId="0" applyAlignment="1" applyBorder="1" applyFill="1" applyFont="1">
      <alignment horizontal="left" vertical="center"/>
    </xf>
    <xf borderId="99" fillId="4" fontId="9" numFmtId="0" xfId="0" applyAlignment="1" applyBorder="1" applyFill="1" applyFont="1">
      <alignment horizontal="center" readingOrder="0" vertical="center"/>
    </xf>
    <xf borderId="100" fillId="0" fontId="3" numFmtId="0" xfId="0" applyBorder="1" applyFont="1"/>
    <xf borderId="101" fillId="0" fontId="3" numFmtId="0" xfId="0" applyBorder="1" applyFont="1"/>
    <xf borderId="21" fillId="4" fontId="9" numFmtId="0" xfId="0" applyAlignment="1" applyBorder="1" applyFill="1" applyFont="1">
      <alignment horizontal="center" readingOrder="0" vertical="center"/>
    </xf>
    <xf borderId="102" fillId="0" fontId="3" numFmtId="0" xfId="0" applyBorder="1" applyFont="1"/>
    <xf borderId="103" fillId="0" fontId="3" numFmtId="0" xfId="0" applyBorder="1" applyFont="1"/>
    <xf borderId="104" fillId="4" fontId="9" numFmtId="0" xfId="0" applyAlignment="1" applyBorder="1" applyFill="1" applyFont="1">
      <alignment horizontal="center" readingOrder="0" vertical="center"/>
    </xf>
    <xf borderId="105" fillId="0" fontId="3" numFmtId="0" xfId="0" applyBorder="1" applyFont="1"/>
    <xf borderId="106" fillId="0" fontId="3" numFmtId="0" xfId="0" applyBorder="1" applyFont="1"/>
    <xf borderId="107" fillId="0" fontId="3" numFmtId="0" xfId="0" applyBorder="1" applyFont="1"/>
    <xf borderId="78" fillId="0" fontId="9" numFmtId="164" xfId="0" applyAlignment="1" applyBorder="1" applyFont="1" applyNumberFormat="1">
      <alignment horizontal="center" readingOrder="0" vertical="center"/>
    </xf>
    <xf borderId="108" fillId="0" fontId="3" numFmtId="0" xfId="0" applyBorder="1" applyFont="1"/>
    <xf borderId="52" fillId="4" fontId="9" numFmtId="164" xfId="0" applyAlignment="1" applyBorder="1" applyFill="1" applyFont="1" applyNumberFormat="1">
      <alignment readingOrder="0" vertical="center"/>
    </xf>
    <xf borderId="109" fillId="0" fontId="3" numFmtId="0" xfId="0" applyBorder="1" applyFont="1"/>
    <xf borderId="21" fillId="0" fontId="9" numFmtId="164" xfId="0" applyAlignment="1" applyBorder="1" applyFont="1" applyNumberFormat="1">
      <alignment horizontal="center" readingOrder="0" vertical="center"/>
    </xf>
    <xf borderId="61" fillId="4" fontId="9" numFmtId="164" xfId="0" applyAlignment="1" applyBorder="1" applyFill="1" applyFont="1" applyNumberFormat="1">
      <alignment readingOrder="0" vertical="center"/>
    </xf>
    <xf borderId="110" fillId="4" fontId="5" numFmtId="49" xfId="0" applyAlignment="1" applyBorder="1" applyFill="1" applyFont="1" applyNumberFormat="1">
      <alignment horizontal="center" vertical="center"/>
    </xf>
    <xf borderId="111" fillId="0" fontId="3" numFmtId="0" xfId="0" applyBorder="1" applyFont="1"/>
    <xf borderId="40" fillId="4" fontId="10" numFmtId="164" xfId="0" applyAlignment="1" applyBorder="1" applyFill="1" applyFont="1" applyNumberFormat="1">
      <alignment horizontal="center" vertical="center"/>
    </xf>
    <xf borderId="112" fillId="0" fontId="3" numFmtId="0" xfId="0" applyBorder="1" applyFont="1"/>
    <xf borderId="113" fillId="4" fontId="10" numFmtId="164" xfId="0" applyAlignment="1" applyBorder="1" applyFill="1" applyFont="1" applyNumberFormat="1">
      <alignment vertical="center"/>
    </xf>
    <xf borderId="19" fillId="4" fontId="5" numFmtId="0" xfId="0" applyAlignment="1" applyBorder="1" applyFill="1" applyFont="1">
      <alignment horizontal="center" vertical="center"/>
    </xf>
    <xf borderId="86" fillId="4" fontId="5" numFmtId="0" xfId="0" applyAlignment="1" applyBorder="1" applyFill="1" applyFont="1">
      <alignment horizontal="center" vertical="center"/>
    </xf>
    <xf borderId="3" fillId="3" fontId="7" numFmtId="49" xfId="0" applyAlignment="1" applyBorder="1" applyFill="1" applyFont="1" applyNumberFormat="1">
      <alignment horizontal="center" vertical="center"/>
    </xf>
    <xf borderId="28" fillId="7" fontId="5" numFmtId="49" xfId="0" applyAlignment="1" applyBorder="1" applyFill="1" applyFont="1" applyNumberFormat="1">
      <alignment horizontal="left" vertical="center"/>
    </xf>
    <xf borderId="114" fillId="0" fontId="3" numFmtId="0" xfId="0" applyBorder="1" applyFont="1"/>
    <xf borderId="11" fillId="7" fontId="8" numFmtId="18" xfId="0" applyAlignment="1" applyBorder="1" applyFill="1" applyFont="1" applyNumberFormat="1">
      <alignment horizontal="center" vertical="center"/>
    </xf>
    <xf borderId="13" fillId="7" fontId="8" numFmtId="18" xfId="0" applyAlignment="1" applyBorder="1" applyFill="1" applyFont="1" applyNumberFormat="1">
      <alignment horizontal="center" vertical="center"/>
    </xf>
    <xf borderId="49" fillId="7" fontId="8" numFmtId="18" xfId="0" applyAlignment="1" applyBorder="1" applyFill="1" applyFont="1" applyNumberFormat="1">
      <alignment horizontal="center" vertical="center"/>
    </xf>
    <xf borderId="33" fillId="4" fontId="5" numFmtId="49" xfId="0" applyAlignment="1" applyBorder="1" applyFill="1" applyFont="1" applyNumberFormat="1">
      <alignment horizontal="left" vertical="center"/>
    </xf>
    <xf borderId="115" fillId="0" fontId="3" numFmtId="0" xfId="0" applyBorder="1" applyFont="1"/>
    <xf borderId="116" fillId="4" fontId="5" numFmtId="49" xfId="0" applyAlignment="1" applyBorder="1" applyFill="1" applyFont="1" applyNumberFormat="1">
      <alignment horizontal="center" readingOrder="0" vertical="center"/>
    </xf>
    <xf borderId="61" fillId="4" fontId="5" numFmtId="49" xfId="0" applyAlignment="1" applyBorder="1" applyFill="1" applyFont="1" applyNumberFormat="1">
      <alignment horizontal="center" readingOrder="0" vertical="center"/>
    </xf>
    <xf borderId="61" fillId="4" fontId="1" numFmtId="21" xfId="0" applyAlignment="1" applyBorder="1" applyFill="1" applyFont="1" applyNumberFormat="1">
      <alignment horizontal="center" readingOrder="0" vertical="center"/>
    </xf>
    <xf borderId="110" fillId="2" fontId="7" numFmtId="49" xfId="0" applyAlignment="1" applyBorder="1" applyFill="1" applyFont="1" applyNumberFormat="1">
      <alignment horizontal="left" vertical="center"/>
    </xf>
    <xf borderId="116" fillId="4" fontId="8" numFmtId="49" xfId="0" applyAlignment="1" applyBorder="1" applyFill="1" applyFont="1" applyNumberFormat="1">
      <alignment horizontal="center" readingOrder="0" vertical="center"/>
    </xf>
    <xf borderId="61" fillId="4" fontId="8" numFmtId="0" xfId="0" applyAlignment="1" applyBorder="1" applyFill="1" applyFont="1">
      <alignment horizontal="center" readingOrder="0" vertical="center"/>
    </xf>
    <xf borderId="8" fillId="7" fontId="5" numFmtId="49" xfId="0" applyAlignment="1" applyBorder="1" applyFill="1" applyFont="1" applyNumberFormat="1">
      <alignment horizontal="left" vertical="center"/>
    </xf>
    <xf borderId="117" fillId="0" fontId="3" numFmtId="0" xfId="0" applyBorder="1" applyFont="1"/>
    <xf borderId="113" fillId="4" fontId="8" numFmtId="46" xfId="0" applyAlignment="1" applyBorder="1" applyFill="1" applyFont="1" applyNumberFormat="1">
      <alignment horizontal="center" readingOrder="0" vertical="center"/>
    </xf>
    <xf borderId="2" fillId="0" fontId="1" numFmtId="49" xfId="0" applyBorder="1" applyFont="1" applyNumberFormat="1"/>
    <xf borderId="12" fillId="3" fontId="7" numFmtId="0" xfId="0" applyAlignment="1" applyBorder="1" applyFill="1" applyFont="1">
      <alignment horizontal="center" vertical="center"/>
    </xf>
    <xf borderId="21" fillId="4" fontId="5" numFmtId="164" xfId="0" applyAlignment="1" applyBorder="1" applyFill="1" applyFont="1" applyNumberFormat="1">
      <alignment horizontal="right" readingOrder="0" vertical="center"/>
    </xf>
    <xf borderId="27" fillId="4" fontId="5" numFmtId="164" xfId="0" applyAlignment="1" applyBorder="1" applyFill="1" applyFont="1" applyNumberFormat="1">
      <alignment horizontal="right" readingOrder="0" vertical="center"/>
    </xf>
    <xf borderId="21" fillId="4" fontId="5" numFmtId="164" xfId="0" applyAlignment="1" applyBorder="1" applyFill="1" applyFont="1" applyNumberFormat="1">
      <alignment horizontal="center" readingOrder="0" vertical="center"/>
    </xf>
    <xf borderId="27" fillId="4" fontId="5" numFmtId="164" xfId="0" applyAlignment="1" applyBorder="1" applyFill="1" applyFont="1" applyNumberFormat="1">
      <alignment horizontal="center" readingOrder="0" vertical="center"/>
    </xf>
    <xf borderId="118" fillId="4" fontId="5" numFmtId="49" xfId="0" applyAlignment="1" applyBorder="1" applyFill="1" applyFont="1" applyNumberFormat="1">
      <alignment horizontal="center" vertical="center"/>
    </xf>
    <xf borderId="119" fillId="0" fontId="3" numFmtId="0" xfId="0" applyBorder="1" applyFont="1"/>
    <xf borderId="40" fillId="4" fontId="8" numFmtId="164" xfId="0" applyAlignment="1" applyBorder="1" applyFill="1" applyFont="1" applyNumberFormat="1">
      <alignment horizontal="center" vertical="center"/>
    </xf>
    <xf borderId="27" fillId="4" fontId="8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1619250" cy="609600"/>
    <xdr:pic>
      <xdr:nvPicPr>
        <xdr:cNvPr descr="Imagen 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0</xdr:row>
      <xdr:rowOff>38100</xdr:rowOff>
    </xdr:from>
    <xdr:ext cx="1809750" cy="609600"/>
    <xdr:pic>
      <xdr:nvPicPr>
        <xdr:cNvPr descr="Imagen 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20.0"/>
    <col customWidth="1" min="4" max="4" width="19.86"/>
    <col customWidth="1" min="5" max="6" width="15.0"/>
    <col customWidth="1" min="7" max="7" width="6.0"/>
    <col customWidth="1" min="8" max="8" width="13.43"/>
    <col customWidth="1" min="9" max="9" width="32.14"/>
    <col customWidth="1" min="10" max="10" width="12.43"/>
    <col customWidth="1" min="11" max="26" width="11.43"/>
  </cols>
  <sheetData>
    <row r="1" ht="56.25" customHeight="1">
      <c r="A1" s="1"/>
      <c r="B1" s="3" t="s">
        <v>0</v>
      </c>
      <c r="C1" s="5"/>
      <c r="D1" s="5"/>
      <c r="E1" s="5"/>
      <c r="F1" s="6"/>
      <c r="G1" s="7"/>
      <c r="H1" s="2"/>
      <c r="I1" s="2"/>
      <c r="J1" s="2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7.25" customHeight="1">
      <c r="A2" s="1"/>
      <c r="B2" s="12" t="s">
        <v>1</v>
      </c>
      <c r="C2" s="14" t="s">
        <v>2</v>
      </c>
      <c r="D2" s="14" t="s">
        <v>3</v>
      </c>
      <c r="E2" s="16" t="s">
        <v>4</v>
      </c>
      <c r="F2" s="17"/>
      <c r="G2" s="7"/>
      <c r="H2" s="18"/>
      <c r="I2" s="18"/>
      <c r="J2" s="1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7.5" customHeight="1">
      <c r="A3" s="1"/>
      <c r="B3" s="19"/>
      <c r="C3" s="20"/>
      <c r="D3" s="21"/>
      <c r="E3" s="22"/>
      <c r="F3" s="17"/>
      <c r="G3" s="23"/>
      <c r="H3" s="24" t="s">
        <v>5</v>
      </c>
      <c r="I3" s="25"/>
      <c r="J3" s="2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1"/>
      <c r="B4" s="27" t="s">
        <v>6</v>
      </c>
      <c r="C4" s="28"/>
      <c r="D4" s="29">
        <v>1.416666666666667</v>
      </c>
      <c r="E4" s="29">
        <v>1.5</v>
      </c>
      <c r="F4" s="30" t="s">
        <v>7</v>
      </c>
      <c r="G4" s="23"/>
      <c r="H4" s="31" t="s">
        <v>6</v>
      </c>
      <c r="I4" s="26"/>
      <c r="J4" s="32">
        <v>1.416666666666667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7.25" customHeight="1">
      <c r="A5" s="1"/>
      <c r="B5" s="33" t="s">
        <v>8</v>
      </c>
      <c r="C5" s="34"/>
      <c r="D5" s="36">
        <f t="shared" ref="D5:F5" si="1">D11-D12-D13-D14+D15+D19+D23+D24+D9</f>
        <v>0</v>
      </c>
      <c r="E5" s="36">
        <f t="shared" si="1"/>
        <v>0</v>
      </c>
      <c r="F5" s="36">
        <f t="shared" si="1"/>
        <v>0</v>
      </c>
      <c r="G5" s="23"/>
      <c r="H5" s="37" t="s">
        <v>9</v>
      </c>
      <c r="I5" s="38" t="s">
        <v>10</v>
      </c>
      <c r="J5" s="3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7.25" customHeight="1">
      <c r="A6" s="1"/>
      <c r="B6" s="40" t="s">
        <v>11</v>
      </c>
      <c r="C6" s="26"/>
      <c r="D6" s="41">
        <f t="shared" ref="D6:F6" si="2">D43+D45</f>
        <v>0</v>
      </c>
      <c r="E6" s="41">
        <f t="shared" si="2"/>
        <v>0</v>
      </c>
      <c r="F6" s="41">
        <f t="shared" si="2"/>
        <v>0</v>
      </c>
      <c r="G6" s="23"/>
      <c r="H6" s="42"/>
      <c r="I6" s="38" t="s">
        <v>12</v>
      </c>
      <c r="J6" s="3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7.25" customHeight="1">
      <c r="A7" s="1"/>
      <c r="B7" s="44" t="s">
        <v>13</v>
      </c>
      <c r="C7" s="46"/>
      <c r="D7" s="48">
        <f>D5+E5+D6+E6+F5+F6</f>
        <v>0</v>
      </c>
      <c r="E7" s="49"/>
      <c r="F7" s="50"/>
      <c r="G7" s="23"/>
      <c r="H7" s="38" t="s">
        <v>14</v>
      </c>
      <c r="I7" s="38" t="s">
        <v>15</v>
      </c>
      <c r="J7" s="3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7.25" customHeight="1">
      <c r="A8" s="1"/>
      <c r="B8" s="51" t="s">
        <v>16</v>
      </c>
      <c r="C8" s="52"/>
      <c r="D8" s="52"/>
      <c r="E8" s="52"/>
      <c r="F8" s="54"/>
      <c r="G8" s="23"/>
      <c r="H8" s="31" t="s">
        <v>17</v>
      </c>
      <c r="I8" s="26"/>
      <c r="J8" s="58">
        <f>SUM(J5+J7)</f>
        <v>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7.25" customHeight="1">
      <c r="A9" s="1"/>
      <c r="B9" s="60" t="s">
        <v>19</v>
      </c>
      <c r="C9" s="61"/>
      <c r="D9" s="62"/>
      <c r="E9" s="62"/>
      <c r="F9" s="63"/>
      <c r="G9" s="7"/>
      <c r="H9" s="65"/>
      <c r="I9" s="65"/>
      <c r="J9" s="65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7.25" customHeight="1">
      <c r="A10" s="1"/>
      <c r="B10" s="67" t="s">
        <v>20</v>
      </c>
      <c r="C10" s="10"/>
      <c r="D10" s="10"/>
      <c r="E10" s="10"/>
      <c r="F10" s="11"/>
      <c r="G10" s="7"/>
      <c r="H10" s="2"/>
      <c r="I10" s="2"/>
      <c r="J10" s="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7.25" customHeight="1">
      <c r="A11" s="1"/>
      <c r="B11" s="60" t="s">
        <v>21</v>
      </c>
      <c r="C11" s="61"/>
      <c r="D11" s="69"/>
      <c r="E11" s="70"/>
      <c r="F11" s="63"/>
      <c r="G11" s="71"/>
      <c r="H11" s="2"/>
      <c r="I11" s="2"/>
      <c r="J11" s="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7.25" customHeight="1">
      <c r="A12" s="1"/>
      <c r="B12" s="73" t="s">
        <v>22</v>
      </c>
      <c r="C12" s="74"/>
      <c r="D12" s="69"/>
      <c r="E12" s="70"/>
      <c r="F12" s="63"/>
      <c r="G12" s="7"/>
      <c r="H12" s="2"/>
      <c r="I12" s="2"/>
      <c r="J12" s="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7.25" customHeight="1">
      <c r="A13" s="1"/>
      <c r="B13" s="75" t="s">
        <v>23</v>
      </c>
      <c r="C13" s="77"/>
      <c r="D13" s="69"/>
      <c r="E13" s="70"/>
      <c r="F13" s="63"/>
      <c r="G13" s="7"/>
      <c r="H13" s="2"/>
      <c r="I13" s="78"/>
      <c r="J13" s="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7.25" customHeight="1">
      <c r="A14" s="1"/>
      <c r="B14" s="75" t="s">
        <v>24</v>
      </c>
      <c r="C14" s="77"/>
      <c r="D14" s="69"/>
      <c r="E14" s="70"/>
      <c r="F14" s="63"/>
      <c r="G14" s="7"/>
      <c r="H14" s="2"/>
      <c r="I14" s="2"/>
      <c r="J14" s="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7.25" customHeight="1">
      <c r="A15" s="1"/>
      <c r="B15" s="75" t="s">
        <v>25</v>
      </c>
      <c r="C15" s="80"/>
      <c r="D15" s="81"/>
      <c r="E15" s="82"/>
      <c r="F15" s="84"/>
      <c r="G15" s="7"/>
      <c r="H15" s="2"/>
      <c r="I15" s="2"/>
      <c r="J15" s="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7.25" customHeight="1">
      <c r="A16" s="1"/>
      <c r="B16" s="75" t="s">
        <v>26</v>
      </c>
      <c r="C16" s="80"/>
      <c r="D16" s="86"/>
      <c r="E16" s="87"/>
      <c r="F16" s="84"/>
      <c r="G16" s="7"/>
      <c r="H16" s="2"/>
      <c r="I16" s="2"/>
      <c r="J16" s="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7.25" customHeight="1">
      <c r="A17" s="1"/>
      <c r="B17" s="73" t="s">
        <v>27</v>
      </c>
      <c r="C17" s="74"/>
      <c r="D17" s="81"/>
      <c r="E17" s="82"/>
      <c r="F17" s="84"/>
      <c r="G17" s="7"/>
      <c r="H17" s="88"/>
      <c r="I17" s="2"/>
      <c r="J17" s="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7.25" customHeight="1">
      <c r="A18" s="1"/>
      <c r="B18" s="73" t="s">
        <v>28</v>
      </c>
      <c r="C18" s="74"/>
      <c r="D18" s="86"/>
      <c r="E18" s="87"/>
      <c r="F18" s="84"/>
      <c r="G18" s="7"/>
      <c r="H18" s="2"/>
      <c r="I18" s="2"/>
      <c r="J18" s="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7.25" customHeight="1">
      <c r="A19" s="1"/>
      <c r="B19" s="73" t="s">
        <v>29</v>
      </c>
      <c r="C19" s="74"/>
      <c r="D19" s="86"/>
      <c r="E19" s="87"/>
      <c r="F19" s="84"/>
      <c r="G19" s="7"/>
      <c r="H19" s="2"/>
      <c r="I19" s="2"/>
      <c r="J19" s="2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7.25" customHeight="1">
      <c r="A20" s="1"/>
      <c r="B20" s="73" t="s">
        <v>30</v>
      </c>
      <c r="C20" s="74"/>
      <c r="D20" s="86"/>
      <c r="E20" s="87"/>
      <c r="F20" s="84"/>
      <c r="G20" s="7"/>
      <c r="H20" s="2"/>
      <c r="I20" s="2"/>
      <c r="J20" s="2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7.25" customHeight="1">
      <c r="A21" s="1"/>
      <c r="B21" s="73" t="s">
        <v>31</v>
      </c>
      <c r="C21" s="74"/>
      <c r="D21" s="86"/>
      <c r="E21" s="87"/>
      <c r="F21" s="84"/>
      <c r="G21" s="7"/>
      <c r="H21" s="2"/>
      <c r="I21" s="2"/>
      <c r="J21" s="2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7.25" customHeight="1">
      <c r="A22" s="1"/>
      <c r="B22" s="75" t="s">
        <v>32</v>
      </c>
      <c r="C22" s="80"/>
      <c r="D22" s="86"/>
      <c r="E22" s="87"/>
      <c r="F22" s="84"/>
      <c r="G22" s="7"/>
      <c r="H22" s="2"/>
      <c r="I22" s="2"/>
      <c r="J22" s="2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7.25" customHeight="1">
      <c r="A23" s="1"/>
      <c r="B23" s="75" t="s">
        <v>33</v>
      </c>
      <c r="C23" s="80"/>
      <c r="D23" s="86"/>
      <c r="E23" s="87"/>
      <c r="F23" s="84"/>
      <c r="G23" s="7"/>
      <c r="H23" s="2"/>
      <c r="I23" s="2"/>
      <c r="J23" s="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7.25" customHeight="1">
      <c r="A24" s="1"/>
      <c r="B24" s="91" t="s">
        <v>34</v>
      </c>
      <c r="C24" s="92"/>
      <c r="D24" s="93"/>
      <c r="E24" s="95"/>
      <c r="F24" s="96"/>
      <c r="G24" s="7"/>
      <c r="H24" s="2"/>
      <c r="I24" s="2"/>
      <c r="J24" s="2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7.25" customHeight="1">
      <c r="A25" s="1"/>
      <c r="B25" s="97" t="s">
        <v>36</v>
      </c>
      <c r="C25" s="28"/>
      <c r="D25" s="101">
        <f t="shared" ref="D25:F25" si="3">D11+D15+D16+D17+D18+D19+D20+D21+D22+D23+D24</f>
        <v>0</v>
      </c>
      <c r="E25" s="101">
        <f t="shared" si="3"/>
        <v>0</v>
      </c>
      <c r="F25" s="102">
        <f t="shared" si="3"/>
        <v>0</v>
      </c>
      <c r="G25" s="7"/>
      <c r="H25" s="2"/>
      <c r="I25" s="2"/>
      <c r="J25" s="2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7.25" customHeight="1">
      <c r="A26" s="1"/>
      <c r="B26" s="27" t="s">
        <v>37</v>
      </c>
      <c r="C26" s="10"/>
      <c r="D26" s="10"/>
      <c r="E26" s="10"/>
      <c r="F26" s="11"/>
      <c r="G26" s="7"/>
      <c r="H26" s="2"/>
      <c r="I26" s="2"/>
      <c r="J26" s="2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7.25" customHeight="1">
      <c r="A27" s="1"/>
      <c r="B27" s="104" t="s">
        <v>38</v>
      </c>
      <c r="C27" s="105"/>
      <c r="D27" s="69"/>
      <c r="E27" s="106"/>
      <c r="F27" s="63"/>
      <c r="G27" s="7"/>
      <c r="H27" s="2"/>
      <c r="I27" s="2"/>
      <c r="J27" s="2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7.25" customHeight="1">
      <c r="A28" s="1"/>
      <c r="B28" s="75" t="s">
        <v>39</v>
      </c>
      <c r="C28" s="80"/>
      <c r="D28" s="86"/>
      <c r="E28" s="107"/>
      <c r="F28" s="84"/>
      <c r="G28" s="7"/>
      <c r="H28" s="2"/>
      <c r="I28" s="2"/>
      <c r="J28" s="2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7.25" customHeight="1">
      <c r="A29" s="1"/>
      <c r="B29" s="108" t="s">
        <v>40</v>
      </c>
      <c r="C29" s="109"/>
      <c r="D29" s="86"/>
      <c r="E29" s="110"/>
      <c r="F29" s="84"/>
      <c r="G29" s="7"/>
      <c r="H29" s="2"/>
      <c r="I29" s="2"/>
      <c r="J29" s="2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7.25" customHeight="1">
      <c r="A30" s="1"/>
      <c r="B30" s="108" t="s">
        <v>41</v>
      </c>
      <c r="C30" s="109"/>
      <c r="D30" s="86"/>
      <c r="E30" s="110"/>
      <c r="F30" s="84"/>
      <c r="G30" s="7"/>
      <c r="H30" s="2"/>
      <c r="I30" s="2"/>
      <c r="J30" s="2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7.25" customHeight="1">
      <c r="A31" s="1"/>
      <c r="B31" s="108" t="s">
        <v>42</v>
      </c>
      <c r="C31" s="109"/>
      <c r="D31" s="86"/>
      <c r="E31" s="87"/>
      <c r="F31" s="84"/>
      <c r="G31" s="7"/>
      <c r="H31" s="2"/>
      <c r="I31" s="2"/>
      <c r="J31" s="2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7.25" customHeight="1">
      <c r="A32" s="1"/>
      <c r="B32" s="108" t="s">
        <v>43</v>
      </c>
      <c r="C32" s="109"/>
      <c r="D32" s="81"/>
      <c r="E32" s="107"/>
      <c r="F32" s="84"/>
      <c r="G32" s="7"/>
      <c r="H32" s="2"/>
      <c r="I32" s="2"/>
      <c r="J32" s="2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7.25" customHeight="1">
      <c r="A33" s="1"/>
      <c r="B33" s="111" t="s">
        <v>44</v>
      </c>
      <c r="C33" s="112"/>
      <c r="D33" s="113"/>
      <c r="E33" s="95"/>
      <c r="F33" s="96"/>
      <c r="G33" s="7"/>
      <c r="H33" s="2"/>
      <c r="I33" s="2"/>
      <c r="J33" s="2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7.25" customHeight="1">
      <c r="A34" s="1"/>
      <c r="B34" s="27" t="s">
        <v>29</v>
      </c>
      <c r="C34" s="10"/>
      <c r="D34" s="10"/>
      <c r="E34" s="10"/>
      <c r="F34" s="11"/>
      <c r="G34" s="7"/>
      <c r="H34" s="2"/>
      <c r="I34" s="2"/>
      <c r="J34" s="2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7.25" customHeight="1">
      <c r="A35" s="1"/>
      <c r="B35" s="115" t="s">
        <v>45</v>
      </c>
      <c r="C35" s="61"/>
      <c r="D35" s="116"/>
      <c r="E35" s="116"/>
      <c r="F35" s="117"/>
      <c r="G35" s="7"/>
      <c r="H35" s="2"/>
      <c r="I35" s="2"/>
      <c r="J35" s="2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7.25" customHeight="1">
      <c r="A36" s="1"/>
      <c r="B36" s="118" t="s">
        <v>46</v>
      </c>
      <c r="C36" s="74"/>
      <c r="D36" s="119"/>
      <c r="E36" s="119"/>
      <c r="F36" s="120"/>
      <c r="G36" s="7"/>
      <c r="H36" s="2"/>
      <c r="I36" s="2"/>
      <c r="J36" s="2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7.25" customHeight="1">
      <c r="A37" s="1"/>
      <c r="B37" s="118" t="s">
        <v>47</v>
      </c>
      <c r="C37" s="74"/>
      <c r="D37" s="119"/>
      <c r="E37" s="119"/>
      <c r="F37" s="121"/>
      <c r="G37" s="7"/>
      <c r="H37" s="2"/>
      <c r="I37" s="2"/>
      <c r="J37" s="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7.25" customHeight="1">
      <c r="A38" s="1"/>
      <c r="B38" s="118" t="s">
        <v>48</v>
      </c>
      <c r="C38" s="74"/>
      <c r="D38" s="119"/>
      <c r="E38" s="119"/>
      <c r="F38" s="120"/>
      <c r="G38" s="7"/>
      <c r="H38" s="2"/>
      <c r="I38" s="2"/>
      <c r="J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7.25" customHeight="1">
      <c r="A39" s="1"/>
      <c r="B39" s="118" t="s">
        <v>49</v>
      </c>
      <c r="C39" s="74"/>
      <c r="D39" s="119"/>
      <c r="E39" s="119"/>
      <c r="F39" s="121"/>
      <c r="G39" s="7"/>
      <c r="H39" s="2"/>
      <c r="I39" s="2"/>
      <c r="J39" s="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7.25" customHeight="1">
      <c r="A40" s="1"/>
      <c r="B40" s="118" t="s">
        <v>50</v>
      </c>
      <c r="C40" s="74"/>
      <c r="D40" s="119"/>
      <c r="E40" s="119"/>
      <c r="F40" s="122"/>
      <c r="G40" s="7"/>
      <c r="H40" s="2"/>
      <c r="I40" s="2"/>
      <c r="J40" s="2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7.25" customHeight="1">
      <c r="A41" s="1"/>
      <c r="B41" s="118" t="s">
        <v>51</v>
      </c>
      <c r="C41" s="74"/>
      <c r="D41" s="119"/>
      <c r="E41" s="119"/>
      <c r="F41" s="122"/>
      <c r="G41" s="7"/>
      <c r="H41" s="2"/>
      <c r="I41" s="2"/>
      <c r="J41" s="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7.25" customHeight="1">
      <c r="A42" s="1"/>
      <c r="B42" s="123" t="s">
        <v>52</v>
      </c>
      <c r="C42" s="85"/>
      <c r="D42" s="119"/>
      <c r="E42" s="119"/>
      <c r="F42" s="120"/>
      <c r="G42" s="7"/>
      <c r="H42" s="2"/>
      <c r="I42" s="2"/>
      <c r="J42" s="2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7.25" customHeight="1">
      <c r="A43" s="1"/>
      <c r="B43" s="124" t="s">
        <v>53</v>
      </c>
      <c r="C43" s="125"/>
      <c r="D43" s="126">
        <f t="array" ref="D43">SUM(D35:D42)</f>
        <v>0</v>
      </c>
      <c r="E43" s="127">
        <f t="array" ref="E43">SUM(E35:E42)</f>
        <v>0</v>
      </c>
      <c r="F43" s="130">
        <f>SUM(F35:F42)</f>
        <v>0</v>
      </c>
      <c r="G43" s="7"/>
      <c r="H43" s="2"/>
      <c r="I43" s="2"/>
      <c r="J43" s="2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7.25" customHeight="1">
      <c r="A44" s="1"/>
      <c r="B44" s="131" t="s">
        <v>34</v>
      </c>
      <c r="C44" s="10"/>
      <c r="D44" s="10"/>
      <c r="E44" s="10"/>
      <c r="F44" s="11"/>
      <c r="G44" s="7"/>
      <c r="H44" s="2"/>
      <c r="I44" s="2"/>
      <c r="J44" s="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7.25" customHeight="1">
      <c r="A45" s="1"/>
      <c r="B45" s="33" t="s">
        <v>33</v>
      </c>
      <c r="C45" s="34"/>
      <c r="D45" s="62"/>
      <c r="E45" s="132"/>
      <c r="F45" s="63"/>
      <c r="G45" s="7"/>
      <c r="H45" s="2"/>
      <c r="I45" s="2"/>
      <c r="J45" s="2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7.25" customHeight="1">
      <c r="A46" s="1"/>
      <c r="B46" s="133" t="s">
        <v>55</v>
      </c>
      <c r="C46" s="26"/>
      <c r="D46" s="134">
        <v>1.708333333333333</v>
      </c>
      <c r="E46" s="135"/>
      <c r="F46" s="136"/>
      <c r="G46" s="7"/>
      <c r="H46" s="2"/>
      <c r="I46" s="2"/>
      <c r="J46" s="2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7.25" customHeight="1">
      <c r="A47" s="1"/>
      <c r="B47" s="64" t="s">
        <v>56</v>
      </c>
      <c r="C47" s="137"/>
      <c r="D47" s="138"/>
      <c r="E47" s="26"/>
      <c r="F47" s="39"/>
      <c r="G47" s="7"/>
      <c r="H47" s="2"/>
      <c r="I47" s="2"/>
      <c r="J47" s="2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7.25" customHeight="1">
      <c r="A48" s="1"/>
      <c r="B48" s="73" t="s">
        <v>57</v>
      </c>
      <c r="C48" s="139"/>
      <c r="D48" s="138"/>
      <c r="E48" s="26"/>
      <c r="F48" s="39"/>
      <c r="G48" s="7"/>
      <c r="H48" s="2"/>
      <c r="I48" s="2"/>
      <c r="J48" s="2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7.25" customHeight="1">
      <c r="A49" s="1"/>
      <c r="B49" s="141" t="s">
        <v>58</v>
      </c>
      <c r="C49" s="142"/>
      <c r="D49" s="143">
        <f>SUM(D47:E48)</f>
        <v>0</v>
      </c>
      <c r="E49" s="26"/>
      <c r="F49" s="58">
        <f>SUM(F47:G48)</f>
        <v>0</v>
      </c>
      <c r="G49" s="144"/>
      <c r="H49" s="2"/>
      <c r="I49" s="2"/>
      <c r="J49" s="2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7.25" customHeight="1">
      <c r="A50" s="1"/>
      <c r="B50" s="27" t="s">
        <v>59</v>
      </c>
      <c r="C50" s="10"/>
      <c r="D50" s="10"/>
      <c r="E50" s="10"/>
      <c r="F50" s="11"/>
      <c r="G50" s="145"/>
      <c r="H50" s="2"/>
      <c r="I50" s="2"/>
      <c r="J50" s="2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7.25" customHeight="1">
      <c r="A51" s="1"/>
      <c r="B51" s="147" t="s">
        <v>60</v>
      </c>
      <c r="C51" s="148"/>
      <c r="D51" s="149"/>
      <c r="E51" s="26"/>
      <c r="F51" s="150">
        <v>0.0</v>
      </c>
      <c r="G51" s="7"/>
      <c r="H51" s="2"/>
      <c r="I51" s="2"/>
      <c r="J51" s="2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7.25" customHeight="1">
      <c r="A52" s="1"/>
      <c r="B52" s="27" t="s">
        <v>61</v>
      </c>
      <c r="C52" s="10"/>
      <c r="D52" s="10"/>
      <c r="E52" s="10"/>
      <c r="F52" s="11"/>
      <c r="G52" s="7"/>
      <c r="H52" s="2"/>
      <c r="I52" s="2"/>
      <c r="J52" s="2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7.25" customHeight="1">
      <c r="A53" s="1"/>
      <c r="B53" s="104" t="s">
        <v>62</v>
      </c>
      <c r="C53" s="151"/>
      <c r="D53" s="152"/>
      <c r="E53" s="153"/>
      <c r="F53" s="154"/>
      <c r="G53" s="7"/>
      <c r="H53" s="2"/>
      <c r="I53" s="2"/>
      <c r="J53" s="2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7.25" customHeight="1">
      <c r="A54" s="1"/>
      <c r="B54" s="73" t="s">
        <v>63</v>
      </c>
      <c r="C54" s="139"/>
      <c r="D54" s="155"/>
      <c r="E54" s="25"/>
      <c r="F54" s="156"/>
      <c r="G54" s="7"/>
      <c r="H54" s="2"/>
      <c r="I54" s="2"/>
      <c r="J54" s="2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7.25" customHeight="1">
      <c r="A55" s="1"/>
      <c r="B55" s="141" t="s">
        <v>64</v>
      </c>
      <c r="C55" s="157"/>
      <c r="D55" s="158"/>
      <c r="E55" s="159"/>
      <c r="F55" s="160"/>
      <c r="G55" s="7"/>
      <c r="H55" s="2"/>
      <c r="I55" s="2"/>
      <c r="J55" s="2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7.25" customHeight="1">
      <c r="A56" s="1"/>
      <c r="B56" s="27" t="s">
        <v>65</v>
      </c>
      <c r="C56" s="10"/>
      <c r="D56" s="10"/>
      <c r="E56" s="10"/>
      <c r="F56" s="11"/>
      <c r="G56" s="7"/>
      <c r="H56" s="2"/>
      <c r="I56" s="2"/>
      <c r="J56" s="2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0" customHeight="1">
      <c r="A57" s="9"/>
      <c r="B57" s="60" t="s">
        <v>66</v>
      </c>
      <c r="C57" s="161"/>
      <c r="D57" s="162"/>
      <c r="E57" s="163"/>
      <c r="F57" s="164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0" customHeight="1">
      <c r="A58" s="9"/>
      <c r="B58" s="83" t="s">
        <v>67</v>
      </c>
      <c r="C58" s="165"/>
      <c r="D58" s="166"/>
      <c r="E58" s="26"/>
      <c r="F58" s="16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0" customHeight="1">
      <c r="A59" s="9"/>
      <c r="B59" s="168" t="s">
        <v>68</v>
      </c>
      <c r="C59" s="169"/>
      <c r="D59" s="170">
        <f t="array" ref="D59">SUM(D57:D58)</f>
        <v>0</v>
      </c>
      <c r="E59" s="171"/>
      <c r="F59" s="172">
        <f>SUM(F57:F58)</f>
        <v>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1">
    <mergeCell ref="B43:C43"/>
    <mergeCell ref="B45:C45"/>
    <mergeCell ref="B46:C46"/>
    <mergeCell ref="D46:E46"/>
    <mergeCell ref="B47:C47"/>
    <mergeCell ref="D47:E47"/>
    <mergeCell ref="D48:E48"/>
    <mergeCell ref="B48:C48"/>
    <mergeCell ref="B49:C49"/>
    <mergeCell ref="D49:E49"/>
    <mergeCell ref="B50:F50"/>
    <mergeCell ref="D51:E51"/>
    <mergeCell ref="B52:F52"/>
    <mergeCell ref="D53:F53"/>
    <mergeCell ref="D7:F7"/>
    <mergeCell ref="B8:F8"/>
    <mergeCell ref="H8:I8"/>
    <mergeCell ref="B10:F10"/>
    <mergeCell ref="B1:F1"/>
    <mergeCell ref="E2:F2"/>
    <mergeCell ref="E3:F3"/>
    <mergeCell ref="H3:J3"/>
    <mergeCell ref="B4:C4"/>
    <mergeCell ref="H4:I4"/>
    <mergeCell ref="H5:H6"/>
    <mergeCell ref="B5:C5"/>
    <mergeCell ref="B6:C6"/>
    <mergeCell ref="B9:C9"/>
    <mergeCell ref="B11:C11"/>
    <mergeCell ref="B12:C12"/>
    <mergeCell ref="B17:C17"/>
    <mergeCell ref="B18:C18"/>
    <mergeCell ref="B35:C35"/>
    <mergeCell ref="B36:C36"/>
    <mergeCell ref="B37:C37"/>
    <mergeCell ref="B39:C39"/>
    <mergeCell ref="B19:C19"/>
    <mergeCell ref="B20:C20"/>
    <mergeCell ref="B21:C21"/>
    <mergeCell ref="B25:C25"/>
    <mergeCell ref="B26:F26"/>
    <mergeCell ref="B34:F34"/>
    <mergeCell ref="F35:F36"/>
    <mergeCell ref="F37:F38"/>
    <mergeCell ref="B38:C38"/>
    <mergeCell ref="F39:F42"/>
    <mergeCell ref="B40:C40"/>
    <mergeCell ref="B41:C41"/>
    <mergeCell ref="B42:C42"/>
    <mergeCell ref="B44:F44"/>
    <mergeCell ref="B58:C58"/>
    <mergeCell ref="D58:E58"/>
    <mergeCell ref="B59:C59"/>
    <mergeCell ref="D59:E59"/>
    <mergeCell ref="B54:C54"/>
    <mergeCell ref="D54:F54"/>
    <mergeCell ref="B55:C55"/>
    <mergeCell ref="D55:F55"/>
    <mergeCell ref="B56:F56"/>
    <mergeCell ref="B57:C57"/>
    <mergeCell ref="D57:E57"/>
  </mergeCells>
  <printOptions/>
  <pageMargins bottom="0.748031" footer="0.0" header="0.0" left="0.708661" right="0.708661" top="0.748031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5.43"/>
    <col customWidth="1" min="3" max="4" width="20.0"/>
    <col customWidth="1" min="5" max="5" width="15.71"/>
    <col customWidth="1" min="6" max="6" width="13.0"/>
    <col customWidth="1" min="7" max="7" width="12.86"/>
    <col customWidth="1" min="8" max="8" width="13.14"/>
    <col customWidth="1" min="9" max="9" width="11.43"/>
    <col customWidth="1" min="10" max="10" width="30.0"/>
    <col customWidth="1" min="11" max="11" width="18.86"/>
    <col customWidth="1" min="12" max="26" width="11.43"/>
  </cols>
  <sheetData>
    <row r="1" ht="56.25" customHeight="1">
      <c r="A1" s="2"/>
      <c r="B1" s="4"/>
      <c r="C1" s="8" t="s">
        <v>0</v>
      </c>
      <c r="D1" s="10"/>
      <c r="E1" s="10"/>
      <c r="F1" s="11"/>
      <c r="G1" s="13"/>
      <c r="H1" s="15"/>
      <c r="I1" s="2"/>
      <c r="J1" s="2"/>
      <c r="K1" s="2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7.25" customHeight="1">
      <c r="A2" s="2"/>
      <c r="B2" s="4"/>
      <c r="C2" s="12" t="s">
        <v>1</v>
      </c>
      <c r="D2" s="14" t="s">
        <v>2</v>
      </c>
      <c r="E2" s="14" t="s">
        <v>3</v>
      </c>
      <c r="F2" s="16" t="s">
        <v>4</v>
      </c>
      <c r="G2" s="17"/>
      <c r="H2" s="15"/>
      <c r="I2" s="18"/>
      <c r="J2" s="18"/>
      <c r="K2" s="1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7.5" customHeight="1">
      <c r="A3" s="2"/>
      <c r="B3" s="4"/>
      <c r="C3" s="35" t="str">
        <f t="array" ref="C3">LENIN!B3</f>
        <v/>
      </c>
      <c r="D3" s="35" t="str">
        <f t="array" ref="D3">LENIN!C3</f>
        <v/>
      </c>
      <c r="E3" s="35" t="str">
        <f t="array" ref="E3">LENIN!D3</f>
        <v/>
      </c>
      <c r="F3" s="43" t="str">
        <f>LENIN!E3</f>
        <v/>
      </c>
      <c r="G3" s="45"/>
      <c r="H3" s="47"/>
      <c r="I3" s="24" t="s">
        <v>5</v>
      </c>
      <c r="J3" s="25"/>
      <c r="K3" s="2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2"/>
      <c r="B4" s="1"/>
      <c r="C4" s="53" t="s">
        <v>6</v>
      </c>
      <c r="D4" s="55"/>
      <c r="E4" s="56">
        <v>1.416666666666667</v>
      </c>
      <c r="F4" s="57">
        <v>1.5</v>
      </c>
      <c r="G4" s="59" t="s">
        <v>18</v>
      </c>
      <c r="H4" s="23"/>
      <c r="I4" s="31" t="s">
        <v>6</v>
      </c>
      <c r="J4" s="26"/>
      <c r="K4" s="32">
        <v>1.416666666666667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7.25" customHeight="1">
      <c r="A5" s="2"/>
      <c r="B5" s="1"/>
      <c r="C5" s="64" t="s">
        <v>8</v>
      </c>
      <c r="D5" s="66"/>
      <c r="E5" s="68">
        <f>LENIN!D5</f>
        <v>0</v>
      </c>
      <c r="F5" s="72">
        <f t="array" ref="F5">LENIN!E5</f>
        <v>0</v>
      </c>
      <c r="G5" s="76">
        <f t="array" ref="G5">LENIN!F5</f>
        <v>0</v>
      </c>
      <c r="H5" s="23"/>
      <c r="I5" s="37" t="s">
        <v>9</v>
      </c>
      <c r="J5" s="38" t="s">
        <v>10</v>
      </c>
      <c r="K5" s="79" t="str">
        <f>LENIN!J5</f>
        <v/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7.25" customHeight="1">
      <c r="A6" s="2"/>
      <c r="B6" s="1"/>
      <c r="C6" s="83" t="s">
        <v>11</v>
      </c>
      <c r="D6" s="85"/>
      <c r="E6" s="68">
        <f t="array" ref="E6">LENIN!D6</f>
        <v>0</v>
      </c>
      <c r="F6" s="72">
        <f t="array" ref="F6">LENIN!E6</f>
        <v>0</v>
      </c>
      <c r="G6" s="76">
        <f t="array" ref="G6">LENIN!F6</f>
        <v>0</v>
      </c>
      <c r="H6" s="23"/>
      <c r="I6" s="42"/>
      <c r="J6" s="38" t="s">
        <v>12</v>
      </c>
      <c r="K6" s="79" t="str">
        <f>LENIN!J6</f>
        <v/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7.25" customHeight="1">
      <c r="A7" s="2"/>
      <c r="B7" s="1"/>
      <c r="C7" s="89" t="s">
        <v>13</v>
      </c>
      <c r="D7" s="90"/>
      <c r="E7" s="94">
        <f>LENIN!D7</f>
        <v>0</v>
      </c>
      <c r="F7" s="52"/>
      <c r="G7" s="54"/>
      <c r="H7" s="23"/>
      <c r="I7" s="38" t="s">
        <v>14</v>
      </c>
      <c r="J7" s="38" t="s">
        <v>15</v>
      </c>
      <c r="K7" s="79" t="str">
        <f>LENIN!J7</f>
        <v/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7.25" customHeight="1">
      <c r="A8" s="2"/>
      <c r="B8" s="4"/>
      <c r="C8" s="53" t="s">
        <v>35</v>
      </c>
      <c r="D8" s="98"/>
      <c r="E8" s="98"/>
      <c r="F8" s="98"/>
      <c r="G8" s="99"/>
      <c r="H8" s="100"/>
      <c r="I8" s="31" t="s">
        <v>17</v>
      </c>
      <c r="J8" s="26"/>
      <c r="K8" s="103">
        <f t="array" ref="K8">LENIN!J8</f>
        <v>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7.25" customHeight="1">
      <c r="A9" s="2"/>
      <c r="B9" s="4"/>
      <c r="C9" s="64" t="s">
        <v>21</v>
      </c>
      <c r="D9" s="66"/>
      <c r="E9" s="68" t="str">
        <f t="array" ref="E9">LENIN!D11</f>
        <v/>
      </c>
      <c r="F9" s="68" t="str">
        <f t="array" ref="F9">LENIN!E11</f>
        <v/>
      </c>
      <c r="G9" s="68" t="str">
        <f t="array" ref="G9">LENIN!F11</f>
        <v/>
      </c>
      <c r="H9" s="114"/>
      <c r="I9" s="65"/>
      <c r="J9" s="65"/>
      <c r="K9" s="6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7.25" customHeight="1">
      <c r="A10" s="2"/>
      <c r="B10" s="4"/>
      <c r="C10" s="75" t="s">
        <v>25</v>
      </c>
      <c r="D10" s="80"/>
      <c r="E10" s="68" t="str">
        <f>LENIN!D15</f>
        <v/>
      </c>
      <c r="F10" s="68" t="str">
        <f>LENIN!E15</f>
        <v/>
      </c>
      <c r="G10" s="68" t="str">
        <f>LENIN!F15</f>
        <v/>
      </c>
      <c r="H10" s="114"/>
      <c r="I10" s="2"/>
      <c r="J10" s="2"/>
      <c r="K10" s="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7.25" customHeight="1">
      <c r="A11" s="2"/>
      <c r="B11" s="4"/>
      <c r="C11" s="75" t="s">
        <v>26</v>
      </c>
      <c r="D11" s="80"/>
      <c r="E11" s="68" t="str">
        <f>LENIN!D16</f>
        <v/>
      </c>
      <c r="F11" s="68" t="str">
        <f>LENIN!E16</f>
        <v/>
      </c>
      <c r="G11" s="68" t="str">
        <f>LENIN!F16</f>
        <v/>
      </c>
      <c r="H11" s="114"/>
      <c r="I11" s="2"/>
      <c r="J11" s="2"/>
      <c r="K11" s="2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7.25" customHeight="1">
      <c r="A12" s="2"/>
      <c r="B12" s="4"/>
      <c r="C12" s="73" t="s">
        <v>27</v>
      </c>
      <c r="D12" s="74"/>
      <c r="E12" s="68" t="str">
        <f>LENIN!D17</f>
        <v/>
      </c>
      <c r="F12" s="68" t="str">
        <f>LENIN!E17</f>
        <v/>
      </c>
      <c r="G12" s="79" t="str">
        <f>LENIN!F17</f>
        <v/>
      </c>
      <c r="H12" s="114"/>
      <c r="I12" s="2"/>
      <c r="J12" s="2"/>
      <c r="K12" s="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7.25" customHeight="1">
      <c r="A13" s="2"/>
      <c r="B13" s="4"/>
      <c r="C13" s="73" t="s">
        <v>28</v>
      </c>
      <c r="D13" s="74"/>
      <c r="E13" s="68" t="str">
        <f>LENIN!D18</f>
        <v/>
      </c>
      <c r="F13" s="68" t="str">
        <f>LENIN!E18</f>
        <v/>
      </c>
      <c r="G13" s="79" t="str">
        <f>LENIN!F18</f>
        <v/>
      </c>
      <c r="H13" s="114"/>
      <c r="I13" s="2"/>
      <c r="J13" s="2"/>
      <c r="K13" s="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7.25" customHeight="1">
      <c r="A14" s="2"/>
      <c r="B14" s="4"/>
      <c r="C14" s="73" t="s">
        <v>29</v>
      </c>
      <c r="D14" s="74"/>
      <c r="E14" s="68" t="str">
        <f>LENIN!D19</f>
        <v/>
      </c>
      <c r="F14" s="68" t="str">
        <f>LENIN!E19</f>
        <v/>
      </c>
      <c r="G14" s="68" t="str">
        <f>LENIN!F19</f>
        <v/>
      </c>
      <c r="H14" s="114"/>
      <c r="I14" s="2"/>
      <c r="J14" s="2"/>
      <c r="K14" s="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7.25" customHeight="1">
      <c r="A15" s="2"/>
      <c r="B15" s="4"/>
      <c r="C15" s="73" t="s">
        <v>30</v>
      </c>
      <c r="D15" s="74"/>
      <c r="E15" s="68" t="str">
        <f>LENIN!D20</f>
        <v/>
      </c>
      <c r="F15" s="68" t="str">
        <f>LENIN!E20</f>
        <v/>
      </c>
      <c r="G15" s="68" t="str">
        <f>LENIN!F20</f>
        <v/>
      </c>
      <c r="H15" s="114"/>
      <c r="I15" s="2"/>
      <c r="J15" s="2"/>
      <c r="K15" s="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7.25" customHeight="1">
      <c r="A16" s="2"/>
      <c r="B16" s="4"/>
      <c r="C16" s="73" t="s">
        <v>31</v>
      </c>
      <c r="D16" s="74"/>
      <c r="E16" s="68" t="str">
        <f>LENIN!D21</f>
        <v/>
      </c>
      <c r="F16" s="68" t="str">
        <f>LENIN!E21</f>
        <v/>
      </c>
      <c r="G16" s="79" t="str">
        <f>LENIN!F21</f>
        <v/>
      </c>
      <c r="H16" s="114"/>
      <c r="I16" s="2"/>
      <c r="J16" s="2"/>
      <c r="K16" s="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7.25" customHeight="1">
      <c r="A17" s="2"/>
      <c r="B17" s="4"/>
      <c r="C17" s="75" t="s">
        <v>32</v>
      </c>
      <c r="D17" s="80"/>
      <c r="E17" s="68" t="str">
        <f>LENIN!D22</f>
        <v/>
      </c>
      <c r="F17" s="68" t="str">
        <f>LENIN!E22</f>
        <v/>
      </c>
      <c r="G17" s="68" t="str">
        <f>LENIN!F22</f>
        <v/>
      </c>
      <c r="H17" s="114"/>
      <c r="I17" s="2"/>
      <c r="J17" s="2"/>
      <c r="K17" s="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7.25" customHeight="1">
      <c r="A18" s="2"/>
      <c r="B18" s="4"/>
      <c r="C18" s="75" t="s">
        <v>33</v>
      </c>
      <c r="D18" s="80"/>
      <c r="E18" s="68" t="str">
        <f>LENIN!D23</f>
        <v/>
      </c>
      <c r="F18" s="68" t="str">
        <f>LENIN!E23</f>
        <v/>
      </c>
      <c r="G18" s="68" t="str">
        <f>LENIN!F23</f>
        <v/>
      </c>
      <c r="H18" s="114"/>
      <c r="I18" s="2"/>
      <c r="J18" s="2"/>
      <c r="K18" s="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7.25" customHeight="1">
      <c r="A19" s="2"/>
      <c r="B19" s="4"/>
      <c r="C19" s="128" t="s">
        <v>54</v>
      </c>
      <c r="D19" s="129"/>
      <c r="E19" s="68" t="str">
        <f>LENIN!D24</f>
        <v/>
      </c>
      <c r="F19" s="68" t="str">
        <f>LENIN!E24</f>
        <v/>
      </c>
      <c r="G19" s="79" t="str">
        <f>LENIN!F24</f>
        <v/>
      </c>
      <c r="H19" s="114"/>
      <c r="I19" s="2"/>
      <c r="J19" s="2"/>
      <c r="K19" s="2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7.25" customHeight="1">
      <c r="A20" s="2"/>
      <c r="B20" s="4"/>
      <c r="C20" s="124" t="s">
        <v>36</v>
      </c>
      <c r="D20" s="125"/>
      <c r="E20" s="126">
        <f t="shared" ref="E20:G20" si="1">SUM(E9:E19)</f>
        <v>0</v>
      </c>
      <c r="F20" s="126">
        <f t="shared" si="1"/>
        <v>0</v>
      </c>
      <c r="G20" s="126">
        <f t="shared" si="1"/>
        <v>0</v>
      </c>
      <c r="H20" s="114"/>
      <c r="I20" s="2"/>
      <c r="J20" s="2"/>
      <c r="K20" s="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7.25" customHeight="1">
      <c r="A21" s="2"/>
      <c r="B21" s="1"/>
      <c r="C21" s="27" t="s">
        <v>37</v>
      </c>
      <c r="D21" s="10"/>
      <c r="E21" s="10"/>
      <c r="F21" s="10"/>
      <c r="G21" s="11"/>
      <c r="H21" s="7"/>
      <c r="I21" s="2"/>
      <c r="J21" s="2"/>
      <c r="K21" s="2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7.25" customHeight="1">
      <c r="A22" s="2"/>
      <c r="B22" s="1"/>
      <c r="C22" s="104" t="s">
        <v>38</v>
      </c>
      <c r="D22" s="105"/>
      <c r="E22" s="140" t="str">
        <f t="array" ref="E22">LENIN!D27</f>
        <v/>
      </c>
      <c r="F22" s="72" t="str">
        <f t="array" ref="F22">LENIN!E27</f>
        <v/>
      </c>
      <c r="G22" s="146" t="str">
        <f t="array" ref="G22">LENIN!F27</f>
        <v/>
      </c>
      <c r="H22" s="7"/>
      <c r="I22" s="2"/>
      <c r="J22" s="2"/>
      <c r="K22" s="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7.25" customHeight="1">
      <c r="A23" s="2"/>
      <c r="B23" s="1"/>
      <c r="C23" s="75" t="s">
        <v>39</v>
      </c>
      <c r="D23" s="80"/>
      <c r="E23" s="68" t="str">
        <f t="array" ref="E23">LENIN!D28</f>
        <v/>
      </c>
      <c r="F23" s="72" t="str">
        <f t="array" ref="F23">LENIN!E28</f>
        <v/>
      </c>
      <c r="G23" s="140" t="str">
        <f>LENIN!F28</f>
        <v/>
      </c>
      <c r="H23" s="7"/>
      <c r="I23" s="2"/>
      <c r="J23" s="2"/>
      <c r="K23" s="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7.25" customHeight="1">
      <c r="A24" s="2"/>
      <c r="B24" s="1"/>
      <c r="C24" s="75" t="s">
        <v>40</v>
      </c>
      <c r="D24" s="80"/>
      <c r="E24" s="68" t="str">
        <f t="array" ref="E24">LENIN!D29</f>
        <v/>
      </c>
      <c r="F24" s="72" t="str">
        <f t="array" ref="F24">LENIN!E29</f>
        <v/>
      </c>
      <c r="G24" s="140" t="str">
        <f>LENIN!F29</f>
        <v/>
      </c>
      <c r="H24" s="7"/>
      <c r="I24" s="2"/>
      <c r="J24" s="2"/>
      <c r="K24" s="2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7.25" customHeight="1">
      <c r="A25" s="2"/>
      <c r="B25" s="1"/>
      <c r="C25" s="75" t="s">
        <v>41</v>
      </c>
      <c r="D25" s="80"/>
      <c r="E25" s="68" t="str">
        <f t="array" ref="E25">LENIN!D30</f>
        <v/>
      </c>
      <c r="F25" s="72" t="str">
        <f t="array" ref="F25">LENIN!E30</f>
        <v/>
      </c>
      <c r="G25" s="140" t="str">
        <f>LENIN!F30</f>
        <v/>
      </c>
      <c r="H25" s="7"/>
      <c r="I25" s="2"/>
      <c r="J25" s="2"/>
      <c r="K25" s="2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7.25" customHeight="1">
      <c r="A26" s="2"/>
      <c r="B26" s="1"/>
      <c r="C26" s="73" t="s">
        <v>42</v>
      </c>
      <c r="D26" s="74"/>
      <c r="E26" s="68" t="str">
        <f t="array" ref="E26">LENIN!D31</f>
        <v/>
      </c>
      <c r="F26" s="72" t="str">
        <f t="array" ref="F26">LENIN!E31</f>
        <v/>
      </c>
      <c r="G26" s="140" t="str">
        <f>LENIN!F31</f>
        <v/>
      </c>
      <c r="H26" s="7"/>
      <c r="I26" s="2"/>
      <c r="J26" s="2"/>
      <c r="K26" s="2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7.25" customHeight="1">
      <c r="A27" s="2"/>
      <c r="B27" s="1"/>
      <c r="C27" s="75" t="s">
        <v>43</v>
      </c>
      <c r="D27" s="80"/>
      <c r="E27" s="68" t="str">
        <f t="array" ref="E27">LENIN!D32</f>
        <v/>
      </c>
      <c r="F27" s="72" t="str">
        <f t="array" ref="F27">LENIN!E32</f>
        <v/>
      </c>
      <c r="G27" s="140" t="str">
        <f>LENIN!F32</f>
        <v/>
      </c>
      <c r="H27" s="7"/>
      <c r="I27" s="2"/>
      <c r="J27" s="2"/>
      <c r="K27" s="2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7.25" customHeight="1">
      <c r="A28" s="2"/>
      <c r="B28" s="1"/>
      <c r="C28" s="91" t="s">
        <v>44</v>
      </c>
      <c r="D28" s="92"/>
      <c r="E28" s="173" t="str">
        <f t="array" ref="E28">LENIN!D33</f>
        <v/>
      </c>
      <c r="F28" s="174" t="str">
        <f t="array" ref="F28">LENIN!E33</f>
        <v/>
      </c>
      <c r="G28" s="140" t="str">
        <f>LENIN!F33</f>
        <v/>
      </c>
      <c r="H28" s="7"/>
      <c r="I28" s="2"/>
      <c r="J28" s="2"/>
      <c r="K28" s="2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7.25" customHeight="1">
      <c r="A29" s="2"/>
      <c r="B29" s="1"/>
      <c r="C29" s="175" t="s">
        <v>69</v>
      </c>
      <c r="D29" s="5"/>
      <c r="E29" s="5"/>
      <c r="F29" s="5"/>
      <c r="G29" s="6"/>
      <c r="H29" s="7"/>
      <c r="I29" s="2"/>
      <c r="J29" s="2"/>
      <c r="K29" s="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7.25" customHeight="1">
      <c r="A30" s="2"/>
      <c r="B30" s="4"/>
      <c r="C30" s="176" t="s">
        <v>70</v>
      </c>
      <c r="D30" s="177"/>
      <c r="E30" s="178">
        <v>1.416666666666667</v>
      </c>
      <c r="F30" s="179">
        <v>1.5</v>
      </c>
      <c r="G30" s="180" t="s">
        <v>18</v>
      </c>
      <c r="H30" s="7"/>
      <c r="I30" s="2"/>
      <c r="J30" s="2"/>
      <c r="K30" s="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7.25" customHeight="1">
      <c r="A31" s="2"/>
      <c r="B31" s="4"/>
      <c r="C31" s="181" t="s">
        <v>71</v>
      </c>
      <c r="D31" s="182"/>
      <c r="E31" s="183"/>
      <c r="F31" s="183"/>
      <c r="G31" s="184"/>
      <c r="H31" s="7"/>
      <c r="I31" s="2"/>
      <c r="J31" s="2"/>
      <c r="K31" s="2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7.25" customHeight="1">
      <c r="A32" s="2"/>
      <c r="B32" s="4"/>
      <c r="C32" s="181" t="s">
        <v>72</v>
      </c>
      <c r="D32" s="182"/>
      <c r="E32" s="183"/>
      <c r="F32" s="183"/>
      <c r="G32" s="184"/>
      <c r="H32" s="71"/>
      <c r="I32" s="2"/>
      <c r="J32" s="2"/>
      <c r="K32" s="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7.25" customHeight="1">
      <c r="A33" s="2"/>
      <c r="B33" s="4"/>
      <c r="C33" s="181" t="s">
        <v>73</v>
      </c>
      <c r="D33" s="182"/>
      <c r="E33" s="183"/>
      <c r="F33" s="183"/>
      <c r="G33" s="184"/>
      <c r="H33" s="7"/>
      <c r="I33" s="2"/>
      <c r="J33" s="2"/>
      <c r="K33" s="2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7.25" customHeight="1">
      <c r="A34" s="2"/>
      <c r="B34" s="4"/>
      <c r="C34" s="181" t="s">
        <v>74</v>
      </c>
      <c r="D34" s="182"/>
      <c r="E34" s="183"/>
      <c r="F34" s="183"/>
      <c r="G34" s="185"/>
      <c r="H34" s="71"/>
      <c r="I34" s="2"/>
      <c r="J34" s="2"/>
      <c r="K34" s="2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7.25" customHeight="1">
      <c r="A35" s="2"/>
      <c r="B35" s="4"/>
      <c r="C35" s="181" t="s">
        <v>75</v>
      </c>
      <c r="D35" s="182"/>
      <c r="E35" s="183"/>
      <c r="F35" s="183"/>
      <c r="G35" s="184"/>
      <c r="H35" s="7"/>
      <c r="I35" s="2"/>
      <c r="J35" s="2"/>
      <c r="K35" s="2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7.25" customHeight="1">
      <c r="A36" s="2"/>
      <c r="B36" s="4"/>
      <c r="C36" s="181" t="s">
        <v>76</v>
      </c>
      <c r="D36" s="182"/>
      <c r="E36" s="183"/>
      <c r="F36" s="183"/>
      <c r="G36" s="184"/>
      <c r="H36" s="7"/>
      <c r="I36" s="2"/>
      <c r="J36" s="2"/>
      <c r="K36" s="2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7.25" customHeight="1">
      <c r="A37" s="2"/>
      <c r="B37" s="4"/>
      <c r="C37" s="181" t="s">
        <v>77</v>
      </c>
      <c r="D37" s="182"/>
      <c r="E37" s="183"/>
      <c r="F37" s="183"/>
      <c r="G37" s="184"/>
      <c r="H37" s="7"/>
      <c r="I37" s="2"/>
      <c r="J37" s="2"/>
      <c r="K37" s="2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7.25" customHeight="1">
      <c r="A38" s="2"/>
      <c r="B38" s="4"/>
      <c r="C38" s="181" t="s">
        <v>78</v>
      </c>
      <c r="D38" s="182"/>
      <c r="E38" s="183"/>
      <c r="F38" s="183"/>
      <c r="G38" s="184"/>
      <c r="H38" s="7"/>
      <c r="I38" s="78"/>
      <c r="J38" s="2"/>
      <c r="K38" s="2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7.25" customHeight="1">
      <c r="A39" s="2"/>
      <c r="B39" s="4"/>
      <c r="C39" s="186" t="s">
        <v>79</v>
      </c>
      <c r="D39" s="169"/>
      <c r="E39" s="187"/>
      <c r="F39" s="187"/>
      <c r="G39" s="188"/>
      <c r="H39" s="7"/>
      <c r="I39" s="2"/>
      <c r="J39" s="2"/>
      <c r="K39" s="2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7.25" customHeight="1">
      <c r="A40" s="2"/>
      <c r="B40" s="4"/>
      <c r="C40" s="189" t="s">
        <v>80</v>
      </c>
      <c r="D40" s="190"/>
      <c r="E40" s="187"/>
      <c r="F40" s="187"/>
      <c r="G40" s="191"/>
      <c r="H40" s="7"/>
      <c r="I40" s="192"/>
      <c r="J40" s="2"/>
      <c r="K40" s="2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7.25" customHeight="1">
      <c r="A41" s="2"/>
      <c r="B41" s="4"/>
      <c r="C41" s="53" t="s">
        <v>81</v>
      </c>
      <c r="D41" s="98"/>
      <c r="E41" s="98"/>
      <c r="F41" s="99"/>
      <c r="G41" s="193"/>
      <c r="H41" s="15"/>
      <c r="I41" s="2"/>
      <c r="J41" s="2"/>
      <c r="K41" s="2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7.25" customHeight="1">
      <c r="A42" s="2"/>
      <c r="B42" s="4"/>
      <c r="C42" s="64" t="s">
        <v>82</v>
      </c>
      <c r="D42" s="66"/>
      <c r="E42" s="194"/>
      <c r="F42" s="182"/>
      <c r="G42" s="195"/>
      <c r="H42" s="7"/>
      <c r="I42" s="2"/>
      <c r="J42" s="2"/>
      <c r="K42" s="2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7.25" customHeight="1">
      <c r="A43" s="2"/>
      <c r="B43" s="4"/>
      <c r="C43" s="73" t="s">
        <v>83</v>
      </c>
      <c r="D43" s="74"/>
      <c r="E43" s="194"/>
      <c r="F43" s="182"/>
      <c r="G43" s="195"/>
      <c r="H43" s="7"/>
      <c r="I43" s="2"/>
      <c r="J43" s="78"/>
      <c r="K43" s="2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7.25" customHeight="1">
      <c r="A44" s="2"/>
      <c r="B44" s="4"/>
      <c r="C44" s="73" t="s">
        <v>84</v>
      </c>
      <c r="D44" s="74"/>
      <c r="E44" s="194"/>
      <c r="F44" s="182"/>
      <c r="G44" s="195"/>
      <c r="H44" s="7"/>
      <c r="I44" s="2"/>
      <c r="J44" s="78"/>
      <c r="K44" s="2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7.25" customHeight="1">
      <c r="A45" s="2"/>
      <c r="B45" s="4"/>
      <c r="C45" s="73" t="s">
        <v>85</v>
      </c>
      <c r="D45" s="74"/>
      <c r="E45" s="196"/>
      <c r="F45" s="182"/>
      <c r="G45" s="197"/>
      <c r="H45" s="7"/>
      <c r="I45" s="2"/>
      <c r="J45" s="2"/>
      <c r="K45" s="2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7.25" customHeight="1">
      <c r="A46" s="2"/>
      <c r="B46" s="4"/>
      <c r="C46" s="198" t="s">
        <v>68</v>
      </c>
      <c r="D46" s="199"/>
      <c r="E46" s="200">
        <f t="array" ref="E46">SUM(E42:E45)</f>
        <v>0</v>
      </c>
      <c r="F46" s="169"/>
      <c r="G46" s="201">
        <f>SUM(G42:G45)</f>
        <v>0</v>
      </c>
      <c r="H46" s="7"/>
      <c r="I46" s="2"/>
      <c r="J46" s="2"/>
      <c r="K46" s="2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4">
    <mergeCell ref="E7:G7"/>
    <mergeCell ref="C8:G8"/>
    <mergeCell ref="I8:J8"/>
    <mergeCell ref="C1:F1"/>
    <mergeCell ref="F2:G2"/>
    <mergeCell ref="F3:G3"/>
    <mergeCell ref="I3:K3"/>
    <mergeCell ref="C4:D4"/>
    <mergeCell ref="I4:J4"/>
    <mergeCell ref="I5:I6"/>
    <mergeCell ref="C5:D5"/>
    <mergeCell ref="C6:D6"/>
    <mergeCell ref="C9:D9"/>
    <mergeCell ref="C12:D12"/>
    <mergeCell ref="C13:D13"/>
    <mergeCell ref="C14:D14"/>
    <mergeCell ref="C15:D15"/>
    <mergeCell ref="C26:D26"/>
    <mergeCell ref="C16:D16"/>
    <mergeCell ref="C20:D20"/>
    <mergeCell ref="C21:G21"/>
    <mergeCell ref="C29:G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4:D44"/>
    <mergeCell ref="C45:D45"/>
    <mergeCell ref="C46:D46"/>
    <mergeCell ref="E45:F45"/>
    <mergeCell ref="E46:F46"/>
    <mergeCell ref="C40:D40"/>
    <mergeCell ref="C41:F41"/>
    <mergeCell ref="C42:D42"/>
    <mergeCell ref="E42:F42"/>
    <mergeCell ref="C43:D43"/>
    <mergeCell ref="E43:F43"/>
    <mergeCell ref="E44:F44"/>
  </mergeCell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2025-08-24T21:21:32Z</dcterms:created>
  <dc:creator>Admin</dc:creator>
</cp:coreProperties>
</file>